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3" sheetId="2" r:id="rId6"/>
    <sheet state="visible" name="Sheet1 (1)" sheetId="3" r:id="rId7"/>
    <sheet state="visible" name="Summary" sheetId="4" r:id="rId8"/>
    <sheet state="visible" name="Sheet3 (1)" sheetId="5" r:id="rId9"/>
  </sheets>
  <definedNames/>
  <calcPr/>
</workbook>
</file>

<file path=xl/sharedStrings.xml><?xml version="1.0" encoding="utf-8"?>
<sst xmlns="http://schemas.openxmlformats.org/spreadsheetml/2006/main" count="487" uniqueCount="217">
  <si>
    <t>Living Room</t>
  </si>
  <si>
    <t>Item Category</t>
  </si>
  <si>
    <t>Description</t>
  </si>
  <si>
    <t>Brand</t>
  </si>
  <si>
    <t>Finish/Color</t>
  </si>
  <si>
    <t>Unit</t>
  </si>
  <si>
    <t>Qty</t>
  </si>
  <si>
    <t>Rate</t>
  </si>
  <si>
    <t>Amount</t>
  </si>
  <si>
    <t>Remarks</t>
  </si>
  <si>
    <t>TV Unit Back Panel</t>
  </si>
  <si>
    <t>Sqft</t>
  </si>
  <si>
    <t>center table</t>
  </si>
  <si>
    <t>Dimension</t>
  </si>
  <si>
    <t xml:space="preserve">5'x3' </t>
  </si>
  <si>
    <t xml:space="preserve">Side table </t>
  </si>
  <si>
    <t>6'3"x1'6"</t>
  </si>
  <si>
    <t xml:space="preserve"> </t>
  </si>
  <si>
    <t>Drawer</t>
  </si>
  <si>
    <t>no's</t>
  </si>
  <si>
    <t xml:space="preserve">Tall open box </t>
  </si>
  <si>
    <t>sqft</t>
  </si>
  <si>
    <t>Sofa back panel</t>
  </si>
  <si>
    <t>window grill</t>
  </si>
  <si>
    <t>Partition Wooden</t>
  </si>
  <si>
    <t>Kitchen</t>
  </si>
  <si>
    <t>L shape base unit carcass wuth Shutter</t>
  </si>
  <si>
    <t>L shape  box wall carcuss</t>
  </si>
  <si>
    <t>U shape over head f&amp;s</t>
  </si>
  <si>
    <t>Base unit carcuss</t>
  </si>
  <si>
    <t>Wall unit carcuss</t>
  </si>
  <si>
    <t>counter top and backsplash</t>
  </si>
  <si>
    <t>Count</t>
  </si>
  <si>
    <t>Lounge Area</t>
  </si>
  <si>
    <t xml:space="preserve">L Shape Paneling </t>
  </si>
  <si>
    <t>Puja Backside Pantry Storage with arch</t>
  </si>
  <si>
    <t>Guest bed room</t>
  </si>
  <si>
    <t>Wardrobe</t>
  </si>
  <si>
    <t>Overhead f&amp;s</t>
  </si>
  <si>
    <t>Door side wardrobe</t>
  </si>
  <si>
    <t>Bed back side panel</t>
  </si>
  <si>
    <t>Kids bed room</t>
  </si>
  <si>
    <t>loft</t>
  </si>
  <si>
    <t xml:space="preserve">side table </t>
  </si>
  <si>
    <t>bed back side panel</t>
  </si>
  <si>
    <t>Dressing area</t>
  </si>
  <si>
    <t>Bay window storage unit</t>
  </si>
  <si>
    <t>Bed Side Bookrack with Glass Doors</t>
  </si>
  <si>
    <t xml:space="preserve">  </t>
  </si>
  <si>
    <t>Master bed room</t>
  </si>
  <si>
    <t>wardrobe</t>
  </si>
  <si>
    <t>Base unit L Shape</t>
  </si>
  <si>
    <t>drawer</t>
  </si>
  <si>
    <t xml:space="preserve">Study Table Hanging </t>
  </si>
  <si>
    <t>tv unit wall panel</t>
  </si>
  <si>
    <t>Pooja unit</t>
  </si>
  <si>
    <t>Storage</t>
  </si>
  <si>
    <t>wall panel</t>
  </si>
  <si>
    <t>Door</t>
  </si>
  <si>
    <t>Balcony</t>
  </si>
  <si>
    <t>Deck flooring</t>
  </si>
  <si>
    <t>Vertical grass panel</t>
  </si>
  <si>
    <t>L shape sitout</t>
  </si>
  <si>
    <t>Tulasi kota base</t>
  </si>
  <si>
    <t>cornor unit</t>
  </si>
  <si>
    <t>Crockery with wash basin</t>
  </si>
  <si>
    <t>Base unit</t>
  </si>
  <si>
    <t xml:space="preserve">Open box </t>
  </si>
  <si>
    <t xml:space="preserve">counter top </t>
  </si>
  <si>
    <t>count</t>
  </si>
  <si>
    <t xml:space="preserve">Mirror Hatching </t>
  </si>
  <si>
    <t xml:space="preserve"> Utility</t>
  </si>
  <si>
    <t>base unit</t>
  </si>
  <si>
    <t>wall unit</t>
  </si>
  <si>
    <t>Ceiling</t>
  </si>
  <si>
    <t xml:space="preserve">Total </t>
  </si>
  <si>
    <t>Lights</t>
  </si>
  <si>
    <t>panel lights</t>
  </si>
  <si>
    <t>nos</t>
  </si>
  <si>
    <t>profile lights</t>
  </si>
  <si>
    <t>feets</t>
  </si>
  <si>
    <t>spot lights</t>
  </si>
  <si>
    <t>Cabinet Lights</t>
  </si>
  <si>
    <t>Curtains</t>
  </si>
  <si>
    <t>living room</t>
  </si>
  <si>
    <t>master bed room</t>
  </si>
  <si>
    <t>kids bed room</t>
  </si>
  <si>
    <t>guest bed room</t>
  </si>
  <si>
    <t>balcony</t>
  </si>
  <si>
    <t>putting paint with primer</t>
  </si>
  <si>
    <t>civil work</t>
  </si>
  <si>
    <t xml:space="preserve"> Furniture</t>
  </si>
  <si>
    <t xml:space="preserve">MBR BED </t>
  </si>
  <si>
    <t>dimensions</t>
  </si>
  <si>
    <t>6'x5'6"</t>
  </si>
  <si>
    <t>dinning chairs</t>
  </si>
  <si>
    <t>L shape sofa</t>
  </si>
  <si>
    <t>11'x7'.5"</t>
  </si>
  <si>
    <t>dressing chair</t>
  </si>
  <si>
    <t>study chair</t>
  </si>
  <si>
    <t xml:space="preserve">kitchen sink </t>
  </si>
  <si>
    <t>Wash basin</t>
  </si>
  <si>
    <t>Hanging swing chair</t>
  </si>
  <si>
    <t>Dressing Mirrors</t>
  </si>
  <si>
    <t>handing lamps</t>
  </si>
  <si>
    <t>Total</t>
  </si>
  <si>
    <t>RRK</t>
  </si>
  <si>
    <t>Different prices were used for TV &amp; Sofa</t>
  </si>
  <si>
    <t>1.2mm laminate ( box paneling )</t>
  </si>
  <si>
    <t xml:space="preserve">PVC </t>
  </si>
  <si>
    <t xml:space="preserve">0.8 laminate </t>
  </si>
  <si>
    <t>In absence of material specification, difficult to validate the price quoted</t>
  </si>
  <si>
    <t xml:space="preserve">after design we can finalise </t>
  </si>
  <si>
    <t>TOTAL</t>
  </si>
  <si>
    <t>L shape base unit carcuss</t>
  </si>
  <si>
    <t>12-15% high even if IS 710 ply is used</t>
  </si>
  <si>
    <t>Chimney needs to be included. Material of counter top, daddo tiles need to be specified</t>
  </si>
  <si>
    <t>I guess this means pantry unit. Confirm whether pantry unit is included. Please specify no.of baskets/trys etc</t>
  </si>
  <si>
    <t>Wash basin too should have been part of this.</t>
  </si>
  <si>
    <t>Overhead F&amp;S for Door backside can be removed</t>
  </si>
  <si>
    <t>Premium wallpaper adequate/Can be discussed</t>
  </si>
  <si>
    <t>Side table designs sjinteriorsdnd</t>
  </si>
  <si>
    <t>Logic for 3 nos is unclear. SJ to clarify</t>
  </si>
  <si>
    <t>As per design should revise SJ Interiors DnD</t>
  </si>
  <si>
    <t>Loft/Overhead F&amp;S of KBR and GBR shall be same</t>
  </si>
  <si>
    <t>side table designs sjinteriorsdnd</t>
  </si>
  <si>
    <t>A desk with one drawer/open draw is enough eitherside</t>
  </si>
  <si>
    <t>bed backside panel</t>
  </si>
  <si>
    <t>Same back panel price to be mentioned everywhere</t>
  </si>
  <si>
    <t xml:space="preserve">Very high. </t>
  </si>
  <si>
    <t>This should include cushion</t>
  </si>
  <si>
    <t>550 was quoted above for tall open box</t>
  </si>
  <si>
    <t>Where is the 2nd wardrobe</t>
  </si>
  <si>
    <t>Loft price for similar work shall be same</t>
  </si>
  <si>
    <t>Shift dressing table to north wall beside TV panel</t>
  </si>
  <si>
    <t xml:space="preserve">As per design should revise </t>
  </si>
  <si>
    <t xml:space="preserve">Bedside Book rack with Glass doors </t>
  </si>
  <si>
    <t>Reason for 4 nos drawers is NOT clear</t>
  </si>
  <si>
    <t>bay window</t>
  </si>
  <si>
    <t>115 sft can be reduced to 50</t>
  </si>
  <si>
    <t>Higher price of Rs 400 was retained</t>
  </si>
  <si>
    <t>Not required</t>
  </si>
  <si>
    <t>Not required/Value for money option can be suggested</t>
  </si>
  <si>
    <t>Not required. Simple version to be explored</t>
  </si>
  <si>
    <t xml:space="preserve">at that stage we can purchase standalone </t>
  </si>
  <si>
    <t>Aesthetic mirror without hatching also is okay</t>
  </si>
  <si>
    <t>Original discussion was subsequently changed to two countertops to accommodate washing machine and dish washer on either side, in addition to cylinders. Estimate need to be revisited to account for the revised design designs sjinteriorsdnd</t>
  </si>
  <si>
    <t>Ceiling SFT calculation needs to be checked designs sjinteriorsdnd</t>
  </si>
  <si>
    <t>Does this include cable costs also</t>
  </si>
  <si>
    <t>Since dimensions and model and type are not yet known, original proposal numbers were left as it is. However, let this be based on actuals rather than part of the quote.</t>
  </si>
  <si>
    <t>Partition glass in wash rooms</t>
  </si>
  <si>
    <t>Specify the price. Can be decided later</t>
  </si>
  <si>
    <t>Miscellaneous works</t>
  </si>
  <si>
    <t>Front elevation minimalist design</t>
  </si>
  <si>
    <t>????</t>
  </si>
  <si>
    <t>Total Interior works</t>
  </si>
  <si>
    <t>Furniture</t>
  </si>
  <si>
    <t>Grand Total</t>
  </si>
  <si>
    <t xml:space="preserve">The following items are not clear in the estimate </t>
  </si>
  <si>
    <t>Pest control</t>
  </si>
  <si>
    <t>Plumbing part</t>
  </si>
  <si>
    <t>Material specification of All wood and hardware items like ply,laminate,WPC,hinges,kitches baskets,other hardware items,electrical cables,LED lights,channels,Ceiling, paints, locks etc is not mentioned</t>
  </si>
  <si>
    <t>Gas pipeline</t>
  </si>
  <si>
    <t>Deep cleaning</t>
  </si>
  <si>
    <t>Chimney</t>
  </si>
  <si>
    <t>Shoe rack</t>
  </si>
  <si>
    <t>PVC ceiling for Balcony</t>
  </si>
  <si>
    <t>Warranty</t>
  </si>
  <si>
    <t>Milestone</t>
  </si>
  <si>
    <t>%age</t>
  </si>
  <si>
    <t>Timelines</t>
  </si>
  <si>
    <t>Advance</t>
  </si>
  <si>
    <t>Payment schedule</t>
  </si>
  <si>
    <t>Milestone based payment</t>
  </si>
  <si>
    <t>Kitchen+MBR</t>
  </si>
  <si>
    <t>Delayed delivery clause</t>
  </si>
  <si>
    <t>Pooja+Living</t>
  </si>
  <si>
    <t>After sales support for atleast 5 years</t>
  </si>
  <si>
    <t>CBR+GBR</t>
  </si>
  <si>
    <t>Utilities +Balcon</t>
  </si>
  <si>
    <t>Final</t>
  </si>
  <si>
    <t>Terms and Conditions of contract</t>
  </si>
  <si>
    <t>SPOC (Single point of contact) Shall be defined clearly</t>
  </si>
  <si>
    <t>The entire scope of work shall be completed within 75-80 days time from the date of signing of contract</t>
  </si>
  <si>
    <t>Work schedule planning shall be shared before the beginning of contract</t>
  </si>
  <si>
    <t>GST shall be for material procurement BUT not for services/labour part</t>
  </si>
  <si>
    <t>CEO shall visit the site periodically, atleast once in a week preferably</t>
  </si>
  <si>
    <t>SJI DND shall comply with the rules &amp; regulations of Skypark association</t>
  </si>
  <si>
    <t>Delayed delivery penalty is proposed @ 5% for every week of delay, on agreed contract value</t>
  </si>
  <si>
    <t>SJI DND shall be responsibility for any items/assets of flat damaged during the course of their work and the same shall be repaired/restored to original condition at their own cost.</t>
  </si>
  <si>
    <t>S No</t>
  </si>
  <si>
    <t>Name of the unit</t>
  </si>
  <si>
    <t>SJ Price</t>
  </si>
  <si>
    <t>RRK offer</t>
  </si>
  <si>
    <t>SJ</t>
  </si>
  <si>
    <t>Living room</t>
  </si>
  <si>
    <t>Chiney shall be included on the proposal. Ideally Kitchen sink shall be part of quote</t>
  </si>
  <si>
    <t>Needs clarity on 3 nos side tables</t>
  </si>
  <si>
    <t>Kids Bed room</t>
  </si>
  <si>
    <t>Different prcies were used fro the same work at different places</t>
  </si>
  <si>
    <t>Master bedroom</t>
  </si>
  <si>
    <t>Removed vertical grass panel and modified Tulasi kota requirement</t>
  </si>
  <si>
    <t>Clarity missing on sitting platform besides french window</t>
  </si>
  <si>
    <t>Utility</t>
  </si>
  <si>
    <t>Wash basin shall be part of the quote</t>
  </si>
  <si>
    <t>Excess SFT was considered in quote. Needs correction</t>
  </si>
  <si>
    <t>Lighting</t>
  </si>
  <si>
    <t>Agreed as it is.</t>
  </si>
  <si>
    <t>Price can be agreed but not part of Quote</t>
  </si>
  <si>
    <t>TOTAL Furniture</t>
  </si>
  <si>
    <t>TOTAL with curtains</t>
  </si>
  <si>
    <t>TOTAL without curtains</t>
  </si>
  <si>
    <t>My final offer without curtains and without Furniture is 19.5 lakh</t>
  </si>
  <si>
    <t>Total with Furniture &amp; Curtains</t>
  </si>
  <si>
    <t>Final offer without curtains and with Furniture is 22.5 akh</t>
  </si>
  <si>
    <t>Total with Furniture &amp; W/O Curtains</t>
  </si>
  <si>
    <t>Have removed Rs 1 lakh worth of original scope/requirement.</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</si>
</sst>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2.0"/>
      <color theme="1"/>
      <name val="Arial"/>
      <scheme val="minor"/>
    </font>
    <font>
      <b/>
      <color theme="1"/>
      <name val="Arial"/>
      <scheme val="minor"/>
    </font>
    <font>
      <color theme="1"/>
      <name val="Arial"/>
      <scheme val="minor"/>
    </font>
    <font>
      <sz val="10.0"/>
      <color theme="1"/>
      <name val="Arial"/>
      <scheme val="minor"/>
    </font>
    <font>
      <color theme="1"/>
      <name val="Arial"/>
    </font>
    <font>
      <b/>
      <sz val="12.0"/>
      <color theme="1"/>
      <name val="Arial"/>
    </font>
    <font/>
    <font>
      <b/>
      <sz val="10.0"/>
      <color theme="1"/>
      <name val="Arial"/>
    </font>
    <font>
      <b/>
      <sz val="10.0"/>
      <color rgb="FF000000"/>
      <name val="Arial"/>
    </font>
    <font>
      <sz val="10.0"/>
      <color theme="1"/>
      <name val="Arial"/>
    </font>
    <font>
      <sz val="8.0"/>
      <color rgb="FF000000"/>
      <name val="Arial"/>
    </font>
    <font>
      <sz val="10.0"/>
      <color rgb="FF000000"/>
      <name val="Arial"/>
    </font>
    <font>
      <u/>
      <sz val="10.0"/>
      <color theme="1"/>
      <name val="Arial"/>
    </font>
    <font>
      <u/>
      <color theme="1"/>
      <name val="Arial"/>
      <scheme val="minor"/>
    </font>
    <font>
      <sz val="10.0"/>
      <color rgb="FFF28E85"/>
      <name val="Arial"/>
    </font>
    <font>
      <sz val="8.0"/>
      <color rgb="FFF28E85"/>
      <name val="Arial"/>
    </font>
    <font>
      <sz val="9.0"/>
      <color rgb="FFF28E85"/>
      <name val="Arial"/>
    </font>
    <font>
      <sz val="9.0"/>
      <color rgb="FF000000"/>
      <name val="Arial"/>
    </font>
    <font>
      <u/>
      <sz val="8.0"/>
      <color rgb="FF000000"/>
      <name val="Arial"/>
    </font>
    <font>
      <u/>
      <sz val="8.0"/>
      <color rgb="FF000000"/>
      <name val="Arial"/>
    </font>
    <font>
      <sz val="9.0"/>
      <color rgb="FFFF0000"/>
      <name val="Arial"/>
    </font>
    <font>
      <sz val="10.0"/>
      <color rgb="FFC00000"/>
      <name val="Arial"/>
    </font>
    <font>
      <b/>
      <sz val="11.0"/>
      <color rgb="FFFF0000"/>
      <name val="Arial"/>
    </font>
    <font>
      <b/>
      <sz val="11.0"/>
      <color rgb="FF000000"/>
      <name val="Arial"/>
    </font>
    <font>
      <b/>
      <sz val="11.0"/>
      <color rgb="FF00B050"/>
      <name val="Arial"/>
    </font>
    <font>
      <b/>
      <sz val="9.0"/>
      <color rgb="FFFF6D01"/>
      <name val="Arial"/>
    </font>
    <font>
      <b/>
      <sz val="10.0"/>
      <color rgb="FFF28E85"/>
      <name val="Arial"/>
    </font>
    <font>
      <b/>
      <sz val="10.0"/>
      <color rgb="FF00B050"/>
      <name val="Arial"/>
    </font>
  </fonts>
  <fills count="13">
    <fill>
      <patternFill patternType="none"/>
    </fill>
    <fill>
      <patternFill patternType="lightGray"/>
    </fill>
    <fill>
      <patternFill patternType="solid">
        <fgColor rgb="FFFCE5CD"/>
        <bgColor rgb="FFFCE5CD"/>
      </patternFill>
    </fill>
    <fill>
      <patternFill patternType="solid">
        <fgColor rgb="FFCFE2F3"/>
        <bgColor rgb="FFCFE2F3"/>
      </patternFill>
    </fill>
    <fill>
      <patternFill patternType="solid">
        <fgColor theme="0"/>
        <bgColor theme="0"/>
      </patternFill>
    </fill>
    <fill>
      <patternFill patternType="solid">
        <fgColor rgb="FFFF9900"/>
        <bgColor rgb="FFFF9900"/>
      </patternFill>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
      <patternFill patternType="solid">
        <fgColor rgb="FFE06666"/>
        <bgColor rgb="FFE06666"/>
      </patternFill>
    </fill>
    <fill>
      <patternFill patternType="solid">
        <fgColor rgb="FFEA9999"/>
        <bgColor rgb="FFEA9999"/>
      </patternFill>
    </fill>
    <fill>
      <patternFill patternType="solid">
        <fgColor rgb="FFFDE49A"/>
        <bgColor rgb="FFFDE49A"/>
      </patternFill>
    </fill>
    <fill>
      <patternFill patternType="solid">
        <fgColor rgb="FFD2F1DA"/>
        <bgColor rgb="FFD2F1DA"/>
      </patternFill>
    </fill>
  </fills>
  <borders count="12">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right style="thin">
        <color rgb="FF000000"/>
      </right>
      <top/>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left" readingOrder="0"/>
    </xf>
    <xf borderId="0" fillId="3" fontId="2" numFmtId="0" xfId="0" applyAlignment="1" applyFont="1">
      <alignment horizontal="center" readingOrder="0"/>
    </xf>
    <xf borderId="0" fillId="0" fontId="3" numFmtId="0" xfId="0" applyAlignment="1" applyFont="1">
      <alignment horizontal="left" readingOrder="0"/>
    </xf>
    <xf borderId="0" fillId="4" fontId="3" numFmtId="0" xfId="0" applyAlignment="1" applyFill="1" applyFont="1">
      <alignment readingOrder="0"/>
    </xf>
    <xf borderId="0" fillId="0" fontId="3" numFmtId="0" xfId="0" applyAlignment="1" applyFont="1">
      <alignment horizontal="center" readingOrder="0"/>
    </xf>
    <xf borderId="0" fillId="0" fontId="3" numFmtId="0" xfId="0" applyFont="1"/>
    <xf borderId="0" fillId="0" fontId="3" numFmtId="0" xfId="0" applyAlignment="1" applyFont="1">
      <alignment readingOrder="0"/>
    </xf>
    <xf borderId="0" fillId="0" fontId="3" numFmtId="0" xfId="0" applyAlignment="1" applyFont="1">
      <alignment horizontal="center"/>
    </xf>
    <xf borderId="0" fillId="4" fontId="4" numFmtId="0" xfId="0" applyAlignment="1" applyFont="1">
      <alignment horizontal="left" readingOrder="0"/>
    </xf>
    <xf borderId="0" fillId="4" fontId="1" numFmtId="0" xfId="0" applyAlignment="1" applyFont="1">
      <alignment horizontal="center" readingOrder="0"/>
    </xf>
    <xf borderId="0" fillId="4" fontId="4" numFmtId="0" xfId="0" applyAlignment="1" applyFont="1">
      <alignment horizontal="left" readingOrder="0"/>
    </xf>
    <xf borderId="0" fillId="4" fontId="4" numFmtId="0" xfId="0" applyAlignment="1" applyFont="1">
      <alignment horizontal="center" readingOrder="0"/>
    </xf>
    <xf borderId="0" fillId="5" fontId="3" numFmtId="0" xfId="0" applyAlignment="1" applyFill="1" applyFont="1">
      <alignment horizontal="center" readingOrder="0"/>
    </xf>
    <xf borderId="0" fillId="0" fontId="3" numFmtId="0" xfId="0" applyAlignment="1" applyFont="1">
      <alignment horizontal="left"/>
    </xf>
    <xf borderId="0" fillId="0" fontId="5" numFmtId="0" xfId="0" applyAlignment="1" applyFont="1">
      <alignment vertical="bottom"/>
    </xf>
    <xf borderId="0" fillId="0" fontId="5" numFmtId="0" xfId="0" applyAlignment="1" applyFont="1">
      <alignment vertical="bottom"/>
    </xf>
    <xf borderId="0" fillId="0" fontId="5" numFmtId="0" xfId="0" applyAlignment="1" applyFont="1">
      <alignment horizontal="center" vertical="bottom"/>
    </xf>
    <xf borderId="0" fillId="0" fontId="5" numFmtId="0" xfId="0" applyAlignment="1" applyFont="1">
      <alignment readingOrder="0" vertical="bottom"/>
    </xf>
    <xf borderId="0" fillId="0" fontId="5" numFmtId="0" xfId="0" applyAlignment="1" applyFont="1">
      <alignment horizontal="center" readingOrder="0" vertical="bottom"/>
    </xf>
    <xf borderId="0" fillId="0" fontId="1" numFmtId="0" xfId="0" applyAlignment="1" applyFont="1">
      <alignment horizontal="center" readingOrder="0"/>
    </xf>
    <xf borderId="1" fillId="2" fontId="6" numFmtId="0" xfId="0" applyAlignment="1" applyBorder="1" applyFont="1">
      <alignment horizontal="center"/>
    </xf>
    <xf borderId="2" fillId="0" fontId="7" numFmtId="0" xfId="0" applyBorder="1" applyFont="1"/>
    <xf borderId="3" fillId="0" fontId="7" numFmtId="0" xfId="0" applyBorder="1" applyFont="1"/>
    <xf borderId="4" fillId="3" fontId="8" numFmtId="0" xfId="0" applyAlignment="1" applyBorder="1" applyFont="1">
      <alignment horizontal="left"/>
    </xf>
    <xf borderId="4" fillId="3" fontId="8" numFmtId="0" xfId="0" applyAlignment="1" applyBorder="1" applyFont="1">
      <alignment horizontal="center"/>
    </xf>
    <xf borderId="0" fillId="0" fontId="9" numFmtId="0" xfId="0" applyAlignment="1" applyFont="1">
      <alignment horizontal="center" vertical="center"/>
    </xf>
    <xf borderId="0" fillId="6" fontId="10" numFmtId="0" xfId="0" applyAlignment="1" applyFill="1" applyFont="1">
      <alignment horizontal="left"/>
    </xf>
    <xf borderId="4" fillId="4" fontId="10" numFmtId="0" xfId="0" applyBorder="1" applyFont="1"/>
    <xf borderId="0" fillId="0" fontId="10" numFmtId="0" xfId="0" applyAlignment="1" applyFont="1">
      <alignment horizontal="center"/>
    </xf>
    <xf borderId="0" fillId="0" fontId="10" numFmtId="0" xfId="0" applyFont="1"/>
    <xf borderId="0" fillId="0" fontId="11" numFmtId="0" xfId="0" applyFont="1"/>
    <xf borderId="0" fillId="0" fontId="12" numFmtId="0" xfId="0" applyAlignment="1" applyFont="1">
      <alignment horizontal="center" vertical="center"/>
    </xf>
    <xf borderId="0" fillId="0" fontId="10" numFmtId="0" xfId="0" applyAlignment="1" applyFont="1">
      <alignment horizontal="left"/>
    </xf>
    <xf borderId="4" fillId="7" fontId="10" numFmtId="0" xfId="0" applyBorder="1" applyFill="1" applyFont="1"/>
    <xf borderId="0" fillId="0" fontId="11" numFmtId="0" xfId="0" applyAlignment="1" applyFont="1">
      <alignment readingOrder="0"/>
    </xf>
    <xf borderId="0" fillId="8" fontId="10" numFmtId="0" xfId="0" applyAlignment="1" applyFill="1" applyFont="1">
      <alignment horizontal="left"/>
    </xf>
    <xf borderId="4" fillId="7" fontId="10" numFmtId="0" xfId="0" applyAlignment="1" applyBorder="1" applyFont="1">
      <alignment readingOrder="0"/>
    </xf>
    <xf borderId="0" fillId="0" fontId="11" numFmtId="0" xfId="0" applyAlignment="1" applyFont="1">
      <alignment shrinkToFit="0" wrapText="1"/>
    </xf>
    <xf borderId="4" fillId="7" fontId="12" numFmtId="0" xfId="0" applyAlignment="1" applyBorder="1" applyFont="1">
      <alignment horizontal="center" vertical="center"/>
    </xf>
    <xf borderId="0" fillId="0" fontId="8" numFmtId="0" xfId="0" applyAlignment="1" applyFont="1">
      <alignment horizontal="center"/>
    </xf>
    <xf borderId="4" fillId="7" fontId="8" numFmtId="0" xfId="0" applyBorder="1" applyFont="1"/>
    <xf borderId="5" fillId="7" fontId="9" numFmtId="0" xfId="0" applyAlignment="1" applyBorder="1" applyFont="1">
      <alignment horizontal="center" vertical="center"/>
    </xf>
    <xf borderId="0" fillId="0" fontId="11" numFmtId="0" xfId="0" applyAlignment="1" applyFont="1">
      <alignment horizontal="left" shrinkToFit="0" vertical="top" wrapText="1"/>
    </xf>
    <xf borderId="0" fillId="0" fontId="12" numFmtId="1" xfId="0" applyAlignment="1" applyFont="1" applyNumberFormat="1">
      <alignment horizontal="center" vertical="center"/>
    </xf>
    <xf borderId="0" fillId="0" fontId="11" numFmtId="0" xfId="0" applyAlignment="1" applyFont="1">
      <alignment shrinkToFit="0" vertical="top" wrapText="1"/>
    </xf>
    <xf borderId="6" fillId="0" fontId="11" numFmtId="0" xfId="0" applyAlignment="1" applyBorder="1" applyFont="1">
      <alignment shrinkToFit="0" vertical="top" wrapText="1"/>
    </xf>
    <xf borderId="4" fillId="7" fontId="12" numFmtId="1" xfId="0" applyAlignment="1" applyBorder="1" applyFont="1" applyNumberFormat="1">
      <alignment horizontal="center" vertical="center"/>
    </xf>
    <xf borderId="7" fillId="0" fontId="8" numFmtId="0" xfId="0" applyBorder="1" applyFont="1"/>
    <xf borderId="5" fillId="4" fontId="6" numFmtId="0" xfId="0" applyAlignment="1" applyBorder="1" applyFont="1">
      <alignment horizontal="center"/>
    </xf>
    <xf borderId="0" fillId="9" fontId="10" numFmtId="0" xfId="0" applyAlignment="1" applyFill="1" applyFont="1">
      <alignment horizontal="left"/>
    </xf>
    <xf borderId="0" fillId="0" fontId="13" numFmtId="0" xfId="0" applyAlignment="1" applyFont="1">
      <alignment horizontal="left" readingOrder="0"/>
    </xf>
    <xf borderId="4" fillId="7" fontId="10" numFmtId="0" xfId="0" applyAlignment="1" applyBorder="1" applyFont="1">
      <alignment horizontal="center"/>
    </xf>
    <xf borderId="5" fillId="0" fontId="9" numFmtId="0" xfId="0" applyBorder="1" applyFont="1"/>
    <xf borderId="5" fillId="0" fontId="12" numFmtId="0" xfId="0" applyBorder="1" applyFont="1"/>
    <xf borderId="0" fillId="0" fontId="14" numFmtId="0" xfId="0" applyAlignment="1" applyFont="1">
      <alignment horizontal="center" readingOrder="0" vertical="center"/>
    </xf>
    <xf borderId="4" fillId="7" fontId="10" numFmtId="0" xfId="0" applyAlignment="1" applyBorder="1" applyFont="1">
      <alignment horizontal="center" readingOrder="0"/>
    </xf>
    <xf borderId="0" fillId="0" fontId="11" numFmtId="0" xfId="0" applyAlignment="1" applyFont="1">
      <alignment vertical="top"/>
    </xf>
    <xf borderId="0" fillId="0" fontId="10" numFmtId="0" xfId="0" applyAlignment="1" applyFont="1">
      <alignment horizontal="left" readingOrder="0"/>
    </xf>
    <xf borderId="0" fillId="0" fontId="15" numFmtId="0" xfId="0" applyFont="1"/>
    <xf borderId="0" fillId="0" fontId="10" numFmtId="0" xfId="0" applyAlignment="1" applyFont="1">
      <alignment horizontal="left" vertical="top"/>
    </xf>
    <xf borderId="0" fillId="0" fontId="8" numFmtId="0" xfId="0" applyFont="1"/>
    <xf borderId="0" fillId="0" fontId="10" numFmtId="0" xfId="0" applyAlignment="1" applyFont="1">
      <alignment horizontal="center" readingOrder="0"/>
    </xf>
    <xf borderId="0" fillId="0" fontId="16" numFmtId="0" xfId="0" applyFont="1"/>
    <xf borderId="0" fillId="0" fontId="3" numFmtId="0" xfId="0" applyAlignment="1" applyFont="1">
      <alignment horizontal="center" readingOrder="0" vertical="center"/>
    </xf>
    <xf borderId="0" fillId="0" fontId="10" numFmtId="0" xfId="0" applyAlignment="1" applyFont="1">
      <alignment horizontal="center" vertical="center"/>
    </xf>
    <xf borderId="0" fillId="0" fontId="17" numFmtId="0" xfId="0" applyFont="1"/>
    <xf borderId="0" fillId="0" fontId="12" numFmtId="0" xfId="0" applyFont="1"/>
    <xf borderId="0" fillId="0" fontId="18" numFmtId="0" xfId="0" applyFont="1"/>
    <xf borderId="0" fillId="10" fontId="10" numFmtId="0" xfId="0" applyAlignment="1" applyFill="1" applyFont="1">
      <alignment horizontal="left"/>
    </xf>
    <xf borderId="0" fillId="0" fontId="19" numFmtId="0" xfId="0" applyAlignment="1" applyFont="1">
      <alignment horizontal="left" readingOrder="0" shrinkToFit="0" vertical="top" wrapText="1"/>
    </xf>
    <xf borderId="0" fillId="0" fontId="20" numFmtId="0" xfId="0" applyAlignment="1" applyFont="1">
      <alignment readingOrder="0"/>
    </xf>
    <xf borderId="4" fillId="7" fontId="9" numFmtId="0" xfId="0" applyAlignment="1" applyBorder="1" applyFont="1">
      <alignment horizontal="center" vertical="center"/>
    </xf>
    <xf borderId="0" fillId="0" fontId="21" numFmtId="0" xfId="0" applyFont="1"/>
    <xf borderId="0" fillId="0" fontId="18" numFmtId="0" xfId="0" applyAlignment="1" applyFont="1">
      <alignment horizontal="left" shrinkToFit="0" vertical="center" wrapText="1"/>
    </xf>
    <xf borderId="0" fillId="0" fontId="22" numFmtId="0" xfId="0" applyAlignment="1" applyFont="1">
      <alignment horizontal="left"/>
    </xf>
    <xf borderId="0" fillId="0" fontId="22" numFmtId="0" xfId="0" applyFont="1"/>
    <xf borderId="0" fillId="0" fontId="9" numFmtId="0" xfId="0" applyFont="1"/>
    <xf borderId="0" fillId="0" fontId="6" numFmtId="0" xfId="0" applyAlignment="1" applyFont="1">
      <alignment horizontal="center"/>
    </xf>
    <xf borderId="0" fillId="0" fontId="23" numFmtId="0" xfId="0" applyAlignment="1" applyFont="1">
      <alignment horizontal="center" vertical="center"/>
    </xf>
    <xf borderId="0" fillId="0" fontId="24" numFmtId="0" xfId="0" applyAlignment="1" applyFont="1">
      <alignment horizontal="center" vertical="center"/>
    </xf>
    <xf borderId="4" fillId="11" fontId="25" numFmtId="0" xfId="0" applyAlignment="1" applyBorder="1" applyFill="1" applyFont="1">
      <alignment horizontal="center" vertical="center"/>
    </xf>
    <xf borderId="0" fillId="8" fontId="3" numFmtId="0" xfId="0" applyFont="1"/>
    <xf borderId="0" fillId="0" fontId="10" numFmtId="0" xfId="0" applyAlignment="1" applyFont="1">
      <alignment horizontal="left" shrinkToFit="0" vertical="top" wrapText="1"/>
    </xf>
    <xf borderId="8" fillId="0" fontId="9" numFmtId="0" xfId="0" applyBorder="1" applyFont="1"/>
    <xf borderId="9" fillId="0" fontId="9" numFmtId="0" xfId="0" applyBorder="1" applyFont="1"/>
    <xf borderId="10" fillId="0" fontId="12" numFmtId="0" xfId="0" applyBorder="1" applyFont="1"/>
    <xf borderId="10" fillId="0" fontId="12" numFmtId="0" xfId="0" applyAlignment="1" applyBorder="1" applyFont="1">
      <alignment horizontal="center" vertical="center"/>
    </xf>
    <xf borderId="1" fillId="12" fontId="26" numFmtId="0" xfId="0" applyAlignment="1" applyBorder="1" applyFill="1" applyFont="1">
      <alignment horizontal="center" readingOrder="0"/>
    </xf>
    <xf borderId="11" fillId="0" fontId="7" numFmtId="0" xfId="0" applyBorder="1" applyFont="1"/>
    <xf borderId="5" fillId="0" fontId="12" numFmtId="0" xfId="0" applyAlignment="1" applyBorder="1" applyFont="1">
      <alignment horizontal="center" vertical="center"/>
    </xf>
    <xf borderId="0" fillId="0" fontId="8" numFmtId="0" xfId="0" applyAlignment="1" applyFont="1">
      <alignment horizontal="left"/>
    </xf>
    <xf borderId="5" fillId="0" fontId="9" numFmtId="0" xfId="0" applyAlignment="1" applyBorder="1" applyFont="1">
      <alignment horizontal="center"/>
    </xf>
    <xf borderId="5" fillId="0" fontId="27" numFmtId="0" xfId="0" applyBorder="1" applyFont="1"/>
    <xf borderId="5" fillId="0" fontId="2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Sheet1!$B$1:$B$2</c:f>
            </c:strRef>
          </c:tx>
          <c:spPr>
            <a:solidFill>
              <a:schemeClr val="accent1"/>
            </a:solidFill>
            <a:ln cmpd="sng">
              <a:noFill/>
            </a:ln>
          </c:spPr>
          <c:cat>
            <c:strRef>
              <c:f>Sheet1!$A$3:$A$1019</c:f>
            </c:strRef>
          </c:cat>
          <c:val>
            <c:numRef>
              <c:f>Sheet1!$B$3:$B$1019</c:f>
              <c:numCache/>
            </c:numRef>
          </c:val>
        </c:ser>
        <c:ser>
          <c:idx val="1"/>
          <c:order val="1"/>
          <c:tx>
            <c:strRef>
              <c:f>Sheet1!$C$1:$C$2</c:f>
            </c:strRef>
          </c:tx>
          <c:spPr>
            <a:solidFill>
              <a:schemeClr val="accent2"/>
            </a:solidFill>
            <a:ln cmpd="sng">
              <a:noFill/>
            </a:ln>
          </c:spPr>
          <c:cat>
            <c:strRef>
              <c:f>Sheet1!$A$3:$A$1019</c:f>
            </c:strRef>
          </c:cat>
          <c:val>
            <c:numRef>
              <c:f>Sheet1!$C$3:$C$1019</c:f>
              <c:numCache/>
            </c:numRef>
          </c:val>
        </c:ser>
        <c:ser>
          <c:idx val="2"/>
          <c:order val="2"/>
          <c:tx>
            <c:strRef>
              <c:f>Sheet1!$D$1:$D$2</c:f>
            </c:strRef>
          </c:tx>
          <c:spPr>
            <a:solidFill>
              <a:schemeClr val="accent3"/>
            </a:solidFill>
            <a:ln cmpd="sng">
              <a:noFill/>
            </a:ln>
          </c:spPr>
          <c:cat>
            <c:strRef>
              <c:f>Sheet1!$A$3:$A$1019</c:f>
            </c:strRef>
          </c:cat>
          <c:val>
            <c:numRef>
              <c:f>Sheet1!$D$3:$D$1019</c:f>
              <c:numCache/>
            </c:numRef>
          </c:val>
        </c:ser>
        <c:ser>
          <c:idx val="3"/>
          <c:order val="3"/>
          <c:tx>
            <c:strRef>
              <c:f>Sheet1!$E$1:$E$2</c:f>
            </c:strRef>
          </c:tx>
          <c:cat>
            <c:strRef>
              <c:f>Sheet1!$A$3:$A$1019</c:f>
            </c:strRef>
          </c:cat>
          <c:val>
            <c:numRef>
              <c:f>Sheet1!$E$3:$E$1019</c:f>
              <c:numCache/>
            </c:numRef>
          </c:val>
        </c:ser>
        <c:ser>
          <c:idx val="4"/>
          <c:order val="4"/>
          <c:tx>
            <c:strRef>
              <c:f>Sheet1!$F$1:$F$2</c:f>
            </c:strRef>
          </c:tx>
          <c:cat>
            <c:strRef>
              <c:f>Sheet1!$A$3:$A$1019</c:f>
            </c:strRef>
          </c:cat>
          <c:val>
            <c:numRef>
              <c:f>Sheet1!$F$3:$F$1019</c:f>
              <c:numCache/>
            </c:numRef>
          </c:val>
        </c:ser>
        <c:ser>
          <c:idx val="5"/>
          <c:order val="5"/>
          <c:tx>
            <c:strRef>
              <c:f>Sheet1!$G$1:$G$2</c:f>
            </c:strRef>
          </c:tx>
          <c:cat>
            <c:strRef>
              <c:f>Sheet1!$A$3:$A$1019</c:f>
            </c:strRef>
          </c:cat>
          <c:val>
            <c:numRef>
              <c:f>Sheet1!$G$3:$G$1019</c:f>
              <c:numCache/>
            </c:numRef>
          </c:val>
        </c:ser>
        <c:ser>
          <c:idx val="6"/>
          <c:order val="6"/>
          <c:tx>
            <c:strRef>
              <c:f>Sheet1!$H$1:$H$2</c:f>
            </c:strRef>
          </c:tx>
          <c:cat>
            <c:strRef>
              <c:f>Sheet1!$A$3:$A$1019</c:f>
            </c:strRef>
          </c:cat>
          <c:val>
            <c:numRef>
              <c:f>Sheet1!$H$3:$H$1019</c:f>
              <c:numCache/>
            </c:numRef>
          </c:val>
        </c:ser>
        <c:ser>
          <c:idx val="7"/>
          <c:order val="7"/>
          <c:tx>
            <c:strRef>
              <c:f>Sheet1!$I$1:$I$2</c:f>
            </c:strRef>
          </c:tx>
          <c:cat>
            <c:strRef>
              <c:f>Sheet1!$A$3:$A$1019</c:f>
            </c:strRef>
          </c:cat>
          <c:val>
            <c:numRef>
              <c:f>Sheet1!$I$3:$I$1019</c:f>
              <c:numCache/>
            </c:numRef>
          </c:val>
        </c:ser>
        <c:ser>
          <c:idx val="8"/>
          <c:order val="8"/>
          <c:tx>
            <c:strRef>
              <c:f>Sheet1!$J$1:$J$2</c:f>
            </c:strRef>
          </c:tx>
          <c:cat>
            <c:strRef>
              <c:f>Sheet1!$A$3:$A$1019</c:f>
            </c:strRef>
          </c:cat>
          <c:val>
            <c:numRef>
              <c:f>Sheet1!$J$3:$J$1019</c:f>
              <c:numCache/>
            </c:numRef>
          </c:val>
        </c:ser>
        <c:ser>
          <c:idx val="9"/>
          <c:order val="9"/>
          <c:tx>
            <c:strRef>
              <c:f>Sheet1!$K$1:$K$2</c:f>
            </c:strRef>
          </c:tx>
          <c:cat>
            <c:strRef>
              <c:f>Sheet1!$A$3:$A$1019</c:f>
            </c:strRef>
          </c:cat>
          <c:val>
            <c:numRef>
              <c:f>Sheet1!$K$3:$K$1019</c:f>
              <c:numCache/>
            </c:numRef>
          </c:val>
        </c:ser>
        <c:ser>
          <c:idx val="10"/>
          <c:order val="10"/>
          <c:tx>
            <c:strRef>
              <c:f>Sheet1!$L$1:$L$2</c:f>
            </c:strRef>
          </c:tx>
          <c:cat>
            <c:strRef>
              <c:f>Sheet1!$A$3:$A$1019</c:f>
            </c:strRef>
          </c:cat>
          <c:val>
            <c:numRef>
              <c:f>Sheet1!$L$3:$L$1019</c:f>
              <c:numCache/>
            </c:numRef>
          </c:val>
        </c:ser>
        <c:ser>
          <c:idx val="11"/>
          <c:order val="11"/>
          <c:tx>
            <c:strRef>
              <c:f>Sheet1!$M$1:$M$2</c:f>
            </c:strRef>
          </c:tx>
          <c:cat>
            <c:strRef>
              <c:f>Sheet1!$A$3:$A$1019</c:f>
            </c:strRef>
          </c:cat>
          <c:val>
            <c:numRef>
              <c:f>Sheet1!$M$3:$M$1019</c:f>
              <c:numCache/>
            </c:numRef>
          </c:val>
        </c:ser>
        <c:ser>
          <c:idx val="12"/>
          <c:order val="12"/>
          <c:tx>
            <c:strRef>
              <c:f>Sheet1!$N$1:$N$2</c:f>
            </c:strRef>
          </c:tx>
          <c:cat>
            <c:strRef>
              <c:f>Sheet1!$A$3:$A$1019</c:f>
            </c:strRef>
          </c:cat>
          <c:val>
            <c:numRef>
              <c:f>Sheet1!$N$3:$N$1019</c:f>
              <c:numCache/>
            </c:numRef>
          </c:val>
        </c:ser>
        <c:ser>
          <c:idx val="13"/>
          <c:order val="13"/>
          <c:tx>
            <c:strRef>
              <c:f>Sheet1!$O$1:$O$2</c:f>
            </c:strRef>
          </c:tx>
          <c:cat>
            <c:strRef>
              <c:f>Sheet1!$A$3:$A$1019</c:f>
            </c:strRef>
          </c:cat>
          <c:val>
            <c:numRef>
              <c:f>Sheet1!$O$3:$O$1019</c:f>
              <c:numCache/>
            </c:numRef>
          </c:val>
        </c:ser>
        <c:ser>
          <c:idx val="14"/>
          <c:order val="14"/>
          <c:tx>
            <c:strRef>
              <c:f>Sheet1!$P$1:$P$2</c:f>
            </c:strRef>
          </c:tx>
          <c:cat>
            <c:strRef>
              <c:f>Sheet1!$A$3:$A$1019</c:f>
            </c:strRef>
          </c:cat>
          <c:val>
            <c:numRef>
              <c:f>Sheet1!$P$3:$P$1019</c:f>
              <c:numCache/>
            </c:numRef>
          </c:val>
        </c:ser>
        <c:ser>
          <c:idx val="15"/>
          <c:order val="15"/>
          <c:tx>
            <c:strRef>
              <c:f>Sheet1!$Q$1:$Q$2</c:f>
            </c:strRef>
          </c:tx>
          <c:cat>
            <c:strRef>
              <c:f>Sheet1!$A$3:$A$1019</c:f>
            </c:strRef>
          </c:cat>
          <c:val>
            <c:numRef>
              <c:f>Sheet1!$Q$3:$Q$1019</c:f>
              <c:numCache/>
            </c:numRef>
          </c:val>
        </c:ser>
        <c:ser>
          <c:idx val="16"/>
          <c:order val="16"/>
          <c:tx>
            <c:strRef>
              <c:f>Sheet1!$R$1:$R$2</c:f>
            </c:strRef>
          </c:tx>
          <c:cat>
            <c:strRef>
              <c:f>Sheet1!$A$3:$A$1019</c:f>
            </c:strRef>
          </c:cat>
          <c:val>
            <c:numRef>
              <c:f>Sheet1!$R$3:$R$1019</c:f>
              <c:numCache/>
            </c:numRef>
          </c:val>
        </c:ser>
        <c:ser>
          <c:idx val="17"/>
          <c:order val="17"/>
          <c:tx>
            <c:strRef>
              <c:f>Sheet1!$S$1:$S$2</c:f>
            </c:strRef>
          </c:tx>
          <c:cat>
            <c:strRef>
              <c:f>Sheet1!$A$3:$A$1019</c:f>
            </c:strRef>
          </c:cat>
          <c:val>
            <c:numRef>
              <c:f>Sheet1!$S$3:$S$1019</c:f>
              <c:numCache/>
            </c:numRef>
          </c:val>
        </c:ser>
        <c:ser>
          <c:idx val="18"/>
          <c:order val="18"/>
          <c:tx>
            <c:strRef>
              <c:f>Sheet1!$T$1:$T$2</c:f>
            </c:strRef>
          </c:tx>
          <c:cat>
            <c:strRef>
              <c:f>Sheet1!$A$3:$A$1019</c:f>
            </c:strRef>
          </c:cat>
          <c:val>
            <c:numRef>
              <c:f>Sheet1!$T$3:$T$1019</c:f>
              <c:numCache/>
            </c:numRef>
          </c:val>
        </c:ser>
        <c:ser>
          <c:idx val="19"/>
          <c:order val="19"/>
          <c:tx>
            <c:strRef>
              <c:f>Sheet1!$U$1:$U$2</c:f>
            </c:strRef>
          </c:tx>
          <c:cat>
            <c:strRef>
              <c:f>Sheet1!$A$3:$A$1019</c:f>
            </c:strRef>
          </c:cat>
          <c:val>
            <c:numRef>
              <c:f>Sheet1!$U$3:$U$1019</c:f>
              <c:numCache/>
            </c:numRef>
          </c:val>
        </c:ser>
        <c:ser>
          <c:idx val="20"/>
          <c:order val="20"/>
          <c:tx>
            <c:strRef>
              <c:f>Sheet1!$V$1:$V$2</c:f>
            </c:strRef>
          </c:tx>
          <c:cat>
            <c:strRef>
              <c:f>Sheet1!$A$3:$A$1019</c:f>
            </c:strRef>
          </c:cat>
          <c:val>
            <c:numRef>
              <c:f>Sheet1!$V$3:$V$1019</c:f>
              <c:numCache/>
            </c:numRef>
          </c:val>
        </c:ser>
        <c:ser>
          <c:idx val="21"/>
          <c:order val="21"/>
          <c:tx>
            <c:strRef>
              <c:f>Sheet1!$W$1:$W$2</c:f>
            </c:strRef>
          </c:tx>
          <c:cat>
            <c:strRef>
              <c:f>Sheet1!$A$3:$A$1019</c:f>
            </c:strRef>
          </c:cat>
          <c:val>
            <c:numRef>
              <c:f>Sheet1!$W$3:$W$1019</c:f>
              <c:numCache/>
            </c:numRef>
          </c:val>
        </c:ser>
        <c:ser>
          <c:idx val="22"/>
          <c:order val="22"/>
          <c:tx>
            <c:strRef>
              <c:f>Sheet1!$X$1:$X$2</c:f>
            </c:strRef>
          </c:tx>
          <c:cat>
            <c:strRef>
              <c:f>Sheet1!$A$3:$A$1019</c:f>
            </c:strRef>
          </c:cat>
          <c:val>
            <c:numRef>
              <c:f>Sheet1!$X$3:$X$1019</c:f>
              <c:numCache/>
            </c:numRef>
          </c:val>
        </c:ser>
        <c:ser>
          <c:idx val="23"/>
          <c:order val="23"/>
          <c:tx>
            <c:strRef>
              <c:f>Sheet1!$Y$1:$Y$2</c:f>
            </c:strRef>
          </c:tx>
          <c:cat>
            <c:strRef>
              <c:f>Sheet1!$A$3:$A$1019</c:f>
            </c:strRef>
          </c:cat>
          <c:val>
            <c:numRef>
              <c:f>Sheet1!$Y$3:$Y$1019</c:f>
              <c:numCache/>
            </c:numRef>
          </c:val>
        </c:ser>
        <c:ser>
          <c:idx val="24"/>
          <c:order val="24"/>
          <c:tx>
            <c:strRef>
              <c:f>Sheet1!$Z$1:$Z$2</c:f>
            </c:strRef>
          </c:tx>
          <c:cat>
            <c:strRef>
              <c:f>Sheet1!$A$3:$A$1019</c:f>
            </c:strRef>
          </c:cat>
          <c:val>
            <c:numRef>
              <c:f>Sheet1!$Z$3:$Z$1019</c:f>
              <c:numCache/>
            </c:numRef>
          </c:val>
        </c:ser>
        <c:axId val="1585220619"/>
        <c:axId val="709025745"/>
      </c:barChart>
      <c:catAx>
        <c:axId val="1585220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9025745"/>
      </c:catAx>
      <c:valAx>
        <c:axId val="7090257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522061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104</xdr:row>
      <xdr:rowOff>171450</xdr:rowOff>
    </xdr:from>
    <xdr:ext cx="9039225" cy="5591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designssjinteriorsdnd@gmail.com" TargetMode="External"/><Relationship Id="rId2" Type="http://schemas.openxmlformats.org/officeDocument/2006/relationships/hyperlink" Target="mailto:sjinteriorsdnd@gmail.com" TargetMode="External"/><Relationship Id="rId3" Type="http://schemas.openxmlformats.org/officeDocument/2006/relationships/hyperlink" Target="mailto:designssjinteriorsdnd@gmail.com" TargetMode="External"/><Relationship Id="rId4" Type="http://schemas.openxmlformats.org/officeDocument/2006/relationships/hyperlink" Target="mailto:designssjinteriorsdnd@gmail.com" TargetMode="External"/><Relationship Id="rId5" Type="http://schemas.openxmlformats.org/officeDocument/2006/relationships/hyperlink" Target="mailto:designssjinteriorsdnd@gmail.com"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5" max="5" width="13.75"/>
  </cols>
  <sheetData>
    <row r="1">
      <c r="A1" s="1" t="s">
        <v>0</v>
      </c>
    </row>
    <row r="2">
      <c r="A2" s="2" t="s">
        <v>1</v>
      </c>
      <c r="B2" s="3" t="s">
        <v>2</v>
      </c>
      <c r="C2" s="3" t="s">
        <v>3</v>
      </c>
      <c r="D2" s="3" t="s">
        <v>4</v>
      </c>
      <c r="E2" s="3" t="s">
        <v>5</v>
      </c>
      <c r="F2" s="3" t="s">
        <v>6</v>
      </c>
      <c r="G2" s="3" t="s">
        <v>7</v>
      </c>
      <c r="H2" s="3" t="s">
        <v>8</v>
      </c>
      <c r="I2" s="3" t="s">
        <v>9</v>
      </c>
    </row>
    <row r="3">
      <c r="A3" s="4" t="s">
        <v>10</v>
      </c>
      <c r="E3" s="5" t="s">
        <v>11</v>
      </c>
      <c r="F3" s="6">
        <v>106.0</v>
      </c>
      <c r="G3" s="6">
        <v>450.0</v>
      </c>
      <c r="H3" s="7">
        <f>F3*G3</f>
        <v>47700</v>
      </c>
    </row>
    <row r="4">
      <c r="A4" s="4" t="s">
        <v>12</v>
      </c>
      <c r="E4" s="8" t="s">
        <v>13</v>
      </c>
      <c r="F4" s="6" t="s">
        <v>14</v>
      </c>
      <c r="G4" s="9"/>
      <c r="H4" s="8">
        <v>25000.0</v>
      </c>
    </row>
    <row r="5">
      <c r="A5" s="4" t="s">
        <v>15</v>
      </c>
      <c r="E5" s="8" t="s">
        <v>13</v>
      </c>
      <c r="F5" s="6" t="s">
        <v>16</v>
      </c>
      <c r="G5" s="9"/>
      <c r="H5" s="8" t="s">
        <v>17</v>
      </c>
    </row>
    <row r="6">
      <c r="A6" s="4" t="s">
        <v>18</v>
      </c>
      <c r="E6" s="8" t="s">
        <v>19</v>
      </c>
      <c r="F6" s="6">
        <v>4.0</v>
      </c>
      <c r="G6" s="6">
        <v>9500.0</v>
      </c>
      <c r="H6" s="7">
        <f t="shared" ref="H6:H10" si="1">G6*F6</f>
        <v>38000</v>
      </c>
    </row>
    <row r="7">
      <c r="A7" s="4" t="s">
        <v>20</v>
      </c>
      <c r="E7" s="8" t="s">
        <v>21</v>
      </c>
      <c r="F7" s="6">
        <v>30.0</v>
      </c>
      <c r="G7" s="6">
        <v>550.0</v>
      </c>
      <c r="H7" s="7">
        <f t="shared" si="1"/>
        <v>16500</v>
      </c>
    </row>
    <row r="8">
      <c r="A8" s="4" t="s">
        <v>22</v>
      </c>
      <c r="D8" s="8" t="s">
        <v>17</v>
      </c>
      <c r="E8" s="8" t="s">
        <v>21</v>
      </c>
      <c r="F8" s="6">
        <v>123.0</v>
      </c>
      <c r="G8" s="6">
        <v>350.0</v>
      </c>
      <c r="H8" s="7">
        <f t="shared" si="1"/>
        <v>43050</v>
      </c>
    </row>
    <row r="9">
      <c r="A9" s="4" t="s">
        <v>23</v>
      </c>
      <c r="D9" s="8" t="s">
        <v>17</v>
      </c>
      <c r="E9" s="8" t="s">
        <v>21</v>
      </c>
      <c r="F9" s="6">
        <v>1.0</v>
      </c>
      <c r="G9" s="6">
        <v>18500.0</v>
      </c>
      <c r="H9" s="7">
        <f t="shared" si="1"/>
        <v>18500</v>
      </c>
    </row>
    <row r="10">
      <c r="A10" s="8" t="s">
        <v>24</v>
      </c>
      <c r="E10" s="8" t="s">
        <v>21</v>
      </c>
      <c r="F10" s="6">
        <v>36.0</v>
      </c>
      <c r="G10" s="6">
        <v>250.0</v>
      </c>
      <c r="H10" s="7">
        <f t="shared" si="1"/>
        <v>9000</v>
      </c>
    </row>
    <row r="11">
      <c r="F11" s="9"/>
      <c r="G11" s="9"/>
    </row>
    <row r="12">
      <c r="A12" s="1" t="s">
        <v>25</v>
      </c>
    </row>
    <row r="13">
      <c r="A13" s="4" t="s">
        <v>26</v>
      </c>
      <c r="E13" s="8" t="s">
        <v>11</v>
      </c>
      <c r="F13" s="6">
        <v>32.0</v>
      </c>
      <c r="G13" s="6">
        <v>1850.0</v>
      </c>
      <c r="H13" s="7">
        <f t="shared" ref="H13:H21" si="2">G13*F13</f>
        <v>59200</v>
      </c>
    </row>
    <row r="14">
      <c r="A14" s="4" t="s">
        <v>27</v>
      </c>
      <c r="E14" s="8" t="s">
        <v>11</v>
      </c>
      <c r="F14" s="6">
        <v>41.0</v>
      </c>
      <c r="G14" s="6">
        <v>1650.0</v>
      </c>
      <c r="H14" s="7">
        <f t="shared" si="2"/>
        <v>67650</v>
      </c>
    </row>
    <row r="15">
      <c r="A15" s="4" t="s">
        <v>28</v>
      </c>
      <c r="E15" s="8" t="s">
        <v>11</v>
      </c>
      <c r="F15" s="6">
        <v>26.0</v>
      </c>
      <c r="G15" s="6">
        <v>1650.0</v>
      </c>
      <c r="H15" s="7">
        <f t="shared" si="2"/>
        <v>42900</v>
      </c>
    </row>
    <row r="16">
      <c r="A16" s="4" t="s">
        <v>29</v>
      </c>
      <c r="E16" s="8" t="s">
        <v>11</v>
      </c>
      <c r="F16" s="6">
        <v>9.0</v>
      </c>
      <c r="G16" s="6">
        <v>1650.0</v>
      </c>
      <c r="H16" s="7">
        <f t="shared" si="2"/>
        <v>14850</v>
      </c>
    </row>
    <row r="17">
      <c r="A17" s="4" t="s">
        <v>30</v>
      </c>
      <c r="E17" s="8" t="s">
        <v>11</v>
      </c>
      <c r="F17" s="6">
        <v>12.0</v>
      </c>
      <c r="G17" s="6">
        <v>1650.0</v>
      </c>
      <c r="H17" s="7">
        <f t="shared" si="2"/>
        <v>19800</v>
      </c>
    </row>
    <row r="18">
      <c r="A18" s="4" t="s">
        <v>31</v>
      </c>
      <c r="E18" s="8" t="s">
        <v>32</v>
      </c>
      <c r="F18" s="6">
        <v>5.0</v>
      </c>
      <c r="G18" s="6">
        <v>9500.0</v>
      </c>
      <c r="H18" s="7">
        <f t="shared" si="2"/>
        <v>47500</v>
      </c>
    </row>
    <row r="19">
      <c r="A19" s="10" t="s">
        <v>33</v>
      </c>
      <c r="B19" s="11"/>
      <c r="C19" s="11"/>
      <c r="D19" s="11"/>
      <c r="E19" s="12" t="s">
        <v>21</v>
      </c>
      <c r="F19" s="13">
        <v>74.0</v>
      </c>
      <c r="G19" s="13">
        <v>650.0</v>
      </c>
      <c r="H19" s="7">
        <f t="shared" si="2"/>
        <v>48100</v>
      </c>
      <c r="I19" s="11"/>
    </row>
    <row r="20">
      <c r="A20" s="8" t="s">
        <v>34</v>
      </c>
      <c r="E20" s="12" t="s">
        <v>21</v>
      </c>
      <c r="F20" s="9"/>
      <c r="G20" s="9"/>
      <c r="H20" s="7">
        <f t="shared" si="2"/>
        <v>0</v>
      </c>
    </row>
    <row r="21">
      <c r="A21" s="8" t="s">
        <v>35</v>
      </c>
      <c r="E21" s="12" t="s">
        <v>21</v>
      </c>
      <c r="F21" s="6">
        <v>55.0</v>
      </c>
      <c r="G21" s="6">
        <v>1650.0</v>
      </c>
      <c r="H21" s="7">
        <f t="shared" si="2"/>
        <v>90750</v>
      </c>
    </row>
    <row r="22">
      <c r="A22" s="1" t="s">
        <v>36</v>
      </c>
    </row>
    <row r="23">
      <c r="A23" s="4" t="s">
        <v>37</v>
      </c>
      <c r="E23" s="8" t="s">
        <v>11</v>
      </c>
      <c r="F23" s="6">
        <v>125.0</v>
      </c>
      <c r="G23" s="6">
        <v>1350.0</v>
      </c>
      <c r="H23" s="7">
        <f t="shared" ref="H23:H28" si="3">F23*G23</f>
        <v>168750</v>
      </c>
    </row>
    <row r="24">
      <c r="A24" s="4" t="s">
        <v>38</v>
      </c>
      <c r="E24" s="8" t="s">
        <v>11</v>
      </c>
      <c r="F24" s="6">
        <v>25.0</v>
      </c>
      <c r="G24" s="6">
        <v>1050.0</v>
      </c>
      <c r="H24" s="7">
        <f t="shared" si="3"/>
        <v>26250</v>
      </c>
    </row>
    <row r="25">
      <c r="A25" s="4" t="s">
        <v>39</v>
      </c>
      <c r="E25" s="8" t="s">
        <v>11</v>
      </c>
      <c r="F25" s="6">
        <v>48.0</v>
      </c>
      <c r="G25" s="6">
        <v>1350.0</v>
      </c>
      <c r="H25" s="7">
        <f t="shared" si="3"/>
        <v>64800</v>
      </c>
    </row>
    <row r="26">
      <c r="A26" s="4" t="s">
        <v>38</v>
      </c>
      <c r="E26" s="8" t="s">
        <v>11</v>
      </c>
      <c r="F26" s="6">
        <v>15.0</v>
      </c>
      <c r="G26" s="14">
        <v>1050.0</v>
      </c>
      <c r="H26" s="7">
        <f t="shared" si="3"/>
        <v>15750</v>
      </c>
    </row>
    <row r="27">
      <c r="A27" s="4" t="s">
        <v>40</v>
      </c>
      <c r="E27" s="8" t="s">
        <v>11</v>
      </c>
      <c r="F27" s="6">
        <v>103.0</v>
      </c>
      <c r="G27" s="6">
        <v>350.0</v>
      </c>
      <c r="H27" s="7">
        <f t="shared" si="3"/>
        <v>36050</v>
      </c>
    </row>
    <row r="28">
      <c r="A28" s="4" t="s">
        <v>15</v>
      </c>
      <c r="E28" s="8" t="s">
        <v>19</v>
      </c>
      <c r="F28" s="6">
        <v>1.0</v>
      </c>
      <c r="G28" s="6">
        <v>11500.0</v>
      </c>
      <c r="H28" s="7">
        <f t="shared" si="3"/>
        <v>11500</v>
      </c>
    </row>
    <row r="29">
      <c r="A29" s="4" t="s">
        <v>17</v>
      </c>
      <c r="F29" s="9"/>
      <c r="G29" s="9"/>
    </row>
    <row r="30">
      <c r="A30" s="1" t="s">
        <v>41</v>
      </c>
    </row>
    <row r="31">
      <c r="A31" s="4" t="s">
        <v>37</v>
      </c>
      <c r="E31" s="8" t="s">
        <v>11</v>
      </c>
      <c r="F31" s="6">
        <v>95.0</v>
      </c>
      <c r="G31" s="6">
        <v>1350.0</v>
      </c>
      <c r="H31" s="7">
        <f t="shared" ref="H31:H38" si="4">F31*G31</f>
        <v>128250</v>
      </c>
    </row>
    <row r="32">
      <c r="A32" s="4" t="s">
        <v>42</v>
      </c>
      <c r="E32" s="8" t="s">
        <v>11</v>
      </c>
      <c r="F32" s="6">
        <v>25.0</v>
      </c>
      <c r="G32" s="14">
        <v>1050.0</v>
      </c>
      <c r="H32" s="7">
        <f t="shared" si="4"/>
        <v>26250</v>
      </c>
    </row>
    <row r="33">
      <c r="A33" s="4" t="s">
        <v>43</v>
      </c>
      <c r="E33" s="8" t="s">
        <v>19</v>
      </c>
      <c r="F33" s="6">
        <v>1.0</v>
      </c>
      <c r="G33" s="6">
        <v>12500.0</v>
      </c>
      <c r="H33" s="7">
        <f t="shared" si="4"/>
        <v>12500</v>
      </c>
    </row>
    <row r="34">
      <c r="A34" s="4" t="s">
        <v>44</v>
      </c>
      <c r="E34" s="8" t="s">
        <v>11</v>
      </c>
      <c r="F34" s="6">
        <v>115.0</v>
      </c>
      <c r="G34" s="6">
        <v>400.0</v>
      </c>
      <c r="H34" s="7">
        <f t="shared" si="4"/>
        <v>46000</v>
      </c>
    </row>
    <row r="35">
      <c r="A35" s="4" t="s">
        <v>45</v>
      </c>
      <c r="E35" s="8" t="s">
        <v>11</v>
      </c>
      <c r="F35" s="6">
        <v>20.0</v>
      </c>
      <c r="G35" s="6">
        <v>950.0</v>
      </c>
      <c r="H35" s="7">
        <f t="shared" si="4"/>
        <v>19000</v>
      </c>
    </row>
    <row r="36">
      <c r="A36" s="4" t="s">
        <v>46</v>
      </c>
      <c r="E36" s="8" t="s">
        <v>11</v>
      </c>
      <c r="F36" s="6">
        <v>25.0</v>
      </c>
      <c r="G36" s="6">
        <v>950.0</v>
      </c>
      <c r="H36" s="7">
        <f t="shared" si="4"/>
        <v>23750</v>
      </c>
    </row>
    <row r="37">
      <c r="A37" s="4" t="s">
        <v>47</v>
      </c>
      <c r="E37" s="8" t="s">
        <v>11</v>
      </c>
      <c r="F37" s="6">
        <v>30.0</v>
      </c>
      <c r="G37" s="6">
        <v>850.0</v>
      </c>
      <c r="H37" s="7">
        <f t="shared" si="4"/>
        <v>25500</v>
      </c>
    </row>
    <row r="38">
      <c r="A38" s="4" t="s">
        <v>42</v>
      </c>
      <c r="E38" s="8" t="s">
        <v>11</v>
      </c>
      <c r="F38" s="6">
        <v>25.0</v>
      </c>
      <c r="G38" s="14">
        <v>1350.0</v>
      </c>
      <c r="H38" s="7">
        <f t="shared" si="4"/>
        <v>33750</v>
      </c>
    </row>
    <row r="39">
      <c r="F39" s="9"/>
      <c r="G39" s="9"/>
      <c r="J39" s="8" t="s">
        <v>48</v>
      </c>
    </row>
    <row r="40">
      <c r="A40" s="15"/>
      <c r="F40" s="9"/>
      <c r="G40" s="9"/>
    </row>
    <row r="41">
      <c r="A41" s="1" t="s">
        <v>49</v>
      </c>
    </row>
    <row r="42">
      <c r="A42" s="4" t="s">
        <v>50</v>
      </c>
      <c r="E42" s="8" t="s">
        <v>11</v>
      </c>
      <c r="F42" s="6">
        <v>135.0</v>
      </c>
      <c r="G42" s="6">
        <v>1350.0</v>
      </c>
      <c r="H42" s="7">
        <f t="shared" ref="H42:H46" si="5">F42*G42</f>
        <v>182250</v>
      </c>
    </row>
    <row r="43">
      <c r="A43" s="4" t="s">
        <v>51</v>
      </c>
      <c r="E43" s="8" t="s">
        <v>19</v>
      </c>
      <c r="F43" s="6">
        <v>1.0</v>
      </c>
      <c r="G43" s="6">
        <v>16500.0</v>
      </c>
      <c r="H43" s="7">
        <f t="shared" si="5"/>
        <v>16500</v>
      </c>
    </row>
    <row r="44">
      <c r="A44" s="4" t="s">
        <v>52</v>
      </c>
      <c r="E44" s="8" t="s">
        <v>11</v>
      </c>
      <c r="F44" s="6">
        <v>1.0</v>
      </c>
      <c r="G44" s="6">
        <v>13500.0</v>
      </c>
      <c r="H44" s="7">
        <f t="shared" si="5"/>
        <v>13500</v>
      </c>
    </row>
    <row r="45">
      <c r="A45" s="4" t="s">
        <v>53</v>
      </c>
      <c r="E45" s="8" t="s">
        <v>11</v>
      </c>
      <c r="F45" s="6">
        <v>1.0</v>
      </c>
      <c r="G45" s="6">
        <v>25000.0</v>
      </c>
      <c r="H45" s="7">
        <f t="shared" si="5"/>
        <v>25000</v>
      </c>
    </row>
    <row r="46">
      <c r="A46" s="4" t="s">
        <v>54</v>
      </c>
      <c r="E46" s="8" t="s">
        <v>11</v>
      </c>
      <c r="F46" s="6">
        <v>45.0</v>
      </c>
      <c r="G46" s="6">
        <v>400.0</v>
      </c>
      <c r="H46" s="7">
        <f t="shared" si="5"/>
        <v>18000</v>
      </c>
    </row>
    <row r="47">
      <c r="A47" s="1" t="s">
        <v>55</v>
      </c>
    </row>
    <row r="48">
      <c r="A48" s="8" t="s">
        <v>56</v>
      </c>
      <c r="E48" s="8" t="s">
        <v>21</v>
      </c>
      <c r="F48" s="6">
        <v>15.0</v>
      </c>
      <c r="G48" s="6">
        <v>1350.0</v>
      </c>
      <c r="H48" s="7">
        <f t="shared" ref="H48:H50" si="6">F48*G48</f>
        <v>20250</v>
      </c>
    </row>
    <row r="49">
      <c r="A49" s="4" t="s">
        <v>57</v>
      </c>
      <c r="E49" s="8" t="s">
        <v>21</v>
      </c>
      <c r="F49" s="6">
        <v>36.0</v>
      </c>
      <c r="G49" s="6">
        <v>450.0</v>
      </c>
      <c r="H49" s="7">
        <f t="shared" si="6"/>
        <v>16200</v>
      </c>
    </row>
    <row r="50">
      <c r="A50" s="16" t="s">
        <v>58</v>
      </c>
      <c r="E50" s="17" t="s">
        <v>21</v>
      </c>
      <c r="F50" s="18">
        <v>95.0</v>
      </c>
      <c r="G50" s="6">
        <v>1500.0</v>
      </c>
      <c r="H50" s="7">
        <f t="shared" si="6"/>
        <v>142500</v>
      </c>
    </row>
    <row r="51">
      <c r="A51" s="1" t="s">
        <v>59</v>
      </c>
    </row>
    <row r="52">
      <c r="A52" s="16" t="s">
        <v>60</v>
      </c>
      <c r="B52" s="17"/>
      <c r="E52" s="19" t="s">
        <v>21</v>
      </c>
      <c r="F52" s="20">
        <v>68.0</v>
      </c>
      <c r="G52" s="6">
        <v>350.0</v>
      </c>
      <c r="H52" s="8">
        <v>0.0</v>
      </c>
    </row>
    <row r="53">
      <c r="A53" s="4" t="s">
        <v>61</v>
      </c>
      <c r="E53" s="8" t="s">
        <v>21</v>
      </c>
      <c r="F53" s="6">
        <v>100.0</v>
      </c>
      <c r="G53" s="6">
        <v>850.0</v>
      </c>
      <c r="H53" s="8">
        <v>0.0</v>
      </c>
    </row>
    <row r="54">
      <c r="A54" s="16" t="s">
        <v>62</v>
      </c>
      <c r="E54" s="17" t="s">
        <v>21</v>
      </c>
      <c r="F54" s="20">
        <v>30.0</v>
      </c>
      <c r="G54" s="6">
        <v>950.0</v>
      </c>
      <c r="H54" s="7">
        <f>F54*G54</f>
        <v>28500</v>
      </c>
    </row>
    <row r="55">
      <c r="A55" s="4" t="s">
        <v>63</v>
      </c>
      <c r="E55" s="8" t="s">
        <v>21</v>
      </c>
      <c r="F55" s="6">
        <v>1.0</v>
      </c>
      <c r="G55" s="6">
        <v>25000.0</v>
      </c>
      <c r="H55" s="8">
        <v>0.0</v>
      </c>
    </row>
    <row r="56">
      <c r="A56" s="4" t="s">
        <v>64</v>
      </c>
      <c r="E56" s="8" t="s">
        <v>21</v>
      </c>
      <c r="F56" s="6">
        <v>20.0</v>
      </c>
      <c r="G56" s="6">
        <v>1250.0</v>
      </c>
      <c r="H56" s="7">
        <f>F56*G56</f>
        <v>25000</v>
      </c>
    </row>
    <row r="57">
      <c r="A57" s="1" t="s">
        <v>65</v>
      </c>
    </row>
    <row r="58">
      <c r="A58" s="4" t="s">
        <v>66</v>
      </c>
      <c r="E58" s="8" t="s">
        <v>11</v>
      </c>
      <c r="F58" s="6">
        <v>20.0</v>
      </c>
      <c r="G58" s="6">
        <v>1350.0</v>
      </c>
      <c r="H58" s="7">
        <f t="shared" ref="H58:H61" si="7">F58*G58</f>
        <v>27000</v>
      </c>
    </row>
    <row r="59">
      <c r="A59" s="4" t="s">
        <v>67</v>
      </c>
      <c r="E59" s="8" t="s">
        <v>11</v>
      </c>
      <c r="F59" s="6">
        <v>25.0</v>
      </c>
      <c r="G59" s="6">
        <v>950.0</v>
      </c>
      <c r="H59" s="7">
        <f t="shared" si="7"/>
        <v>23750</v>
      </c>
    </row>
    <row r="60">
      <c r="A60" s="4" t="s">
        <v>68</v>
      </c>
      <c r="E60" s="8" t="s">
        <v>69</v>
      </c>
      <c r="F60" s="6">
        <v>1.0</v>
      </c>
      <c r="G60" s="6">
        <v>12500.0</v>
      </c>
      <c r="H60" s="7">
        <f t="shared" si="7"/>
        <v>12500</v>
      </c>
    </row>
    <row r="61">
      <c r="A61" s="4" t="s">
        <v>70</v>
      </c>
      <c r="E61" s="8" t="s">
        <v>21</v>
      </c>
      <c r="F61" s="6">
        <v>25.0</v>
      </c>
      <c r="G61" s="6">
        <v>450.0</v>
      </c>
      <c r="H61" s="7">
        <f t="shared" si="7"/>
        <v>11250</v>
      </c>
    </row>
    <row r="62">
      <c r="A62" s="1" t="s">
        <v>71</v>
      </c>
    </row>
    <row r="63">
      <c r="A63" s="4" t="s">
        <v>72</v>
      </c>
      <c r="E63" s="8" t="s">
        <v>21</v>
      </c>
      <c r="F63" s="6">
        <v>25.0</v>
      </c>
      <c r="G63" s="6">
        <v>1250.0</v>
      </c>
      <c r="H63" s="7">
        <f t="shared" ref="H63:H65" si="8">F63*G63</f>
        <v>31250</v>
      </c>
    </row>
    <row r="64">
      <c r="A64" s="4" t="s">
        <v>73</v>
      </c>
      <c r="E64" s="8" t="s">
        <v>21</v>
      </c>
      <c r="F64" s="6">
        <v>45.0</v>
      </c>
      <c r="G64" s="6">
        <v>1050.0</v>
      </c>
      <c r="H64" s="7">
        <f t="shared" si="8"/>
        <v>47250</v>
      </c>
    </row>
    <row r="65">
      <c r="A65" s="4" t="s">
        <v>31</v>
      </c>
      <c r="E65" s="8" t="s">
        <v>21</v>
      </c>
      <c r="F65" s="6">
        <v>85.0</v>
      </c>
      <c r="G65" s="6">
        <v>250.0</v>
      </c>
      <c r="H65" s="7">
        <f t="shared" si="8"/>
        <v>21250</v>
      </c>
    </row>
    <row r="66">
      <c r="A66" s="1" t="s">
        <v>74</v>
      </c>
    </row>
    <row r="67">
      <c r="A67" s="4" t="s">
        <v>75</v>
      </c>
      <c r="E67" s="8" t="s">
        <v>21</v>
      </c>
      <c r="F67" s="6">
        <v>2195.0</v>
      </c>
      <c r="G67" s="6">
        <v>80.0</v>
      </c>
      <c r="H67" s="7">
        <f>F67*G67</f>
        <v>175600</v>
      </c>
    </row>
    <row r="68">
      <c r="A68" s="1" t="s">
        <v>76</v>
      </c>
    </row>
    <row r="69">
      <c r="A69" s="4" t="s">
        <v>77</v>
      </c>
      <c r="E69" s="8" t="s">
        <v>78</v>
      </c>
      <c r="F69" s="6">
        <v>45.0</v>
      </c>
      <c r="G69" s="6">
        <v>950.0</v>
      </c>
      <c r="H69" s="7">
        <f t="shared" ref="H69:H72" si="9">F69*G69</f>
        <v>42750</v>
      </c>
    </row>
    <row r="70">
      <c r="A70" s="4" t="s">
        <v>79</v>
      </c>
      <c r="E70" s="8" t="s">
        <v>80</v>
      </c>
      <c r="F70" s="6">
        <v>46.0</v>
      </c>
      <c r="G70" s="6">
        <v>650.0</v>
      </c>
      <c r="H70" s="7">
        <f t="shared" si="9"/>
        <v>29900</v>
      </c>
    </row>
    <row r="71">
      <c r="A71" s="4" t="s">
        <v>81</v>
      </c>
      <c r="E71" s="8" t="s">
        <v>78</v>
      </c>
      <c r="F71" s="6">
        <v>45.0</v>
      </c>
      <c r="G71" s="6">
        <v>350.0</v>
      </c>
      <c r="H71" s="7">
        <f t="shared" si="9"/>
        <v>15750</v>
      </c>
    </row>
    <row r="72">
      <c r="A72" s="8" t="s">
        <v>82</v>
      </c>
      <c r="E72" s="8" t="s">
        <v>78</v>
      </c>
      <c r="F72" s="6">
        <v>90.0</v>
      </c>
      <c r="G72" s="6">
        <v>250.0</v>
      </c>
      <c r="H72" s="7">
        <f t="shared" si="9"/>
        <v>22500</v>
      </c>
    </row>
    <row r="73">
      <c r="A73" s="1" t="s">
        <v>83</v>
      </c>
    </row>
    <row r="74">
      <c r="A74" s="4" t="s">
        <v>84</v>
      </c>
      <c r="E74" s="8" t="s">
        <v>21</v>
      </c>
      <c r="F74" s="6">
        <v>76.0</v>
      </c>
      <c r="G74" s="6">
        <v>300.0</v>
      </c>
      <c r="H74" s="7">
        <f t="shared" ref="H74:H81" si="10">F74*G74</f>
        <v>22800</v>
      </c>
    </row>
    <row r="75">
      <c r="A75" s="4" t="s">
        <v>85</v>
      </c>
      <c r="E75" s="8" t="s">
        <v>21</v>
      </c>
      <c r="F75" s="6">
        <v>46.0</v>
      </c>
      <c r="G75" s="6">
        <v>300.0</v>
      </c>
      <c r="H75" s="7">
        <f t="shared" si="10"/>
        <v>13800</v>
      </c>
    </row>
    <row r="76">
      <c r="A76" s="4" t="s">
        <v>86</v>
      </c>
      <c r="E76" s="8" t="s">
        <v>21</v>
      </c>
      <c r="F76" s="6">
        <v>44.0</v>
      </c>
      <c r="G76" s="6">
        <v>300.0</v>
      </c>
      <c r="H76" s="7">
        <f t="shared" si="10"/>
        <v>13200</v>
      </c>
    </row>
    <row r="77">
      <c r="A77" s="4" t="s">
        <v>87</v>
      </c>
      <c r="E77" s="8" t="s">
        <v>21</v>
      </c>
      <c r="F77" s="6">
        <v>76.0</v>
      </c>
      <c r="G77" s="6">
        <v>300.0</v>
      </c>
      <c r="H77" s="7">
        <f t="shared" si="10"/>
        <v>22800</v>
      </c>
    </row>
    <row r="78">
      <c r="A78" s="4" t="s">
        <v>88</v>
      </c>
      <c r="E78" s="8" t="s">
        <v>21</v>
      </c>
      <c r="F78" s="6">
        <v>59.0</v>
      </c>
      <c r="G78" s="6">
        <v>300.0</v>
      </c>
      <c r="H78" s="7">
        <f t="shared" si="10"/>
        <v>17700</v>
      </c>
    </row>
    <row r="79">
      <c r="A79" s="15"/>
      <c r="F79" s="9"/>
      <c r="G79" s="9"/>
      <c r="H79" s="7">
        <f t="shared" si="10"/>
        <v>0</v>
      </c>
    </row>
    <row r="80">
      <c r="A80" s="4" t="s">
        <v>89</v>
      </c>
      <c r="E80" s="8" t="s">
        <v>21</v>
      </c>
      <c r="F80" s="6">
        <v>1.0</v>
      </c>
      <c r="G80" s="6">
        <v>85000.0</v>
      </c>
      <c r="H80" s="7">
        <f t="shared" si="10"/>
        <v>85000</v>
      </c>
    </row>
    <row r="81">
      <c r="A81" s="4" t="s">
        <v>90</v>
      </c>
      <c r="F81" s="6">
        <v>1.0</v>
      </c>
      <c r="G81" s="6">
        <v>45000.0</v>
      </c>
      <c r="H81" s="7">
        <f t="shared" si="10"/>
        <v>45000</v>
      </c>
    </row>
    <row r="82">
      <c r="F82" s="9"/>
      <c r="G82" s="9"/>
    </row>
    <row r="83">
      <c r="F83" s="9"/>
      <c r="G83" s="9"/>
    </row>
    <row r="84">
      <c r="A84" s="21" t="s">
        <v>75</v>
      </c>
      <c r="H84" s="7">
        <f>SUM(H3:H81)</f>
        <v>2395350</v>
      </c>
    </row>
    <row r="85">
      <c r="F85" s="9"/>
      <c r="G85" s="9"/>
      <c r="H85" s="8">
        <v>23.5</v>
      </c>
    </row>
    <row r="86">
      <c r="F86" s="9"/>
      <c r="G86" s="9"/>
    </row>
    <row r="87">
      <c r="F87" s="9"/>
      <c r="G87" s="9"/>
    </row>
    <row r="88">
      <c r="F88" s="9"/>
      <c r="G88" s="9"/>
    </row>
    <row r="89">
      <c r="A89" s="15"/>
      <c r="F89" s="9"/>
      <c r="G89" s="9"/>
    </row>
    <row r="90">
      <c r="A90" s="15"/>
      <c r="F90" s="9"/>
      <c r="G90" s="9"/>
    </row>
    <row r="91">
      <c r="F91" s="9"/>
      <c r="G91" s="9"/>
    </row>
    <row r="92">
      <c r="A92" s="15"/>
      <c r="F92" s="9"/>
      <c r="G92" s="9"/>
    </row>
    <row r="93">
      <c r="A93" s="15"/>
      <c r="F93" s="9"/>
      <c r="G93" s="9"/>
    </row>
    <row r="94">
      <c r="A94" s="15"/>
      <c r="F94" s="9"/>
      <c r="G94" s="9"/>
    </row>
    <row r="95">
      <c r="A95" s="15"/>
      <c r="F95" s="9"/>
      <c r="G95" s="9"/>
    </row>
    <row r="96">
      <c r="A96" s="15"/>
      <c r="F96" s="9"/>
      <c r="G96" s="9"/>
    </row>
    <row r="97">
      <c r="A97" s="15"/>
      <c r="F97" s="9"/>
      <c r="G97" s="9"/>
    </row>
    <row r="98">
      <c r="A98" s="15"/>
      <c r="F98" s="9"/>
      <c r="G98" s="9"/>
    </row>
    <row r="99">
      <c r="A99" s="15"/>
      <c r="F99" s="9"/>
      <c r="G99" s="9"/>
    </row>
    <row r="100">
      <c r="A100" s="15"/>
      <c r="F100" s="9"/>
      <c r="G100" s="9"/>
    </row>
    <row r="101">
      <c r="A101" s="15"/>
      <c r="F101" s="9"/>
      <c r="G101" s="9"/>
    </row>
    <row r="102">
      <c r="A102" s="15"/>
      <c r="F102" s="9"/>
      <c r="G102" s="9"/>
    </row>
    <row r="103">
      <c r="A103" s="15"/>
      <c r="F103" s="9"/>
      <c r="G103" s="9"/>
    </row>
    <row r="104">
      <c r="A104" s="15"/>
      <c r="F104" s="9"/>
      <c r="G104" s="9"/>
    </row>
    <row r="105">
      <c r="A105" s="15"/>
      <c r="F105" s="9"/>
      <c r="G105" s="9"/>
    </row>
    <row r="106">
      <c r="A106" s="15"/>
      <c r="F106" s="9"/>
      <c r="G106" s="9"/>
    </row>
    <row r="107">
      <c r="A107" s="15"/>
      <c r="F107" s="9"/>
      <c r="G107" s="9"/>
    </row>
    <row r="108">
      <c r="A108" s="15"/>
      <c r="F108" s="9"/>
      <c r="G108" s="9"/>
    </row>
    <row r="109">
      <c r="A109" s="15"/>
      <c r="F109" s="9"/>
      <c r="G109" s="9"/>
    </row>
    <row r="110">
      <c r="A110" s="15"/>
      <c r="F110" s="9"/>
      <c r="G110" s="9"/>
    </row>
    <row r="111">
      <c r="A111" s="15"/>
      <c r="F111" s="9"/>
      <c r="G111" s="9"/>
    </row>
    <row r="112">
      <c r="A112" s="15"/>
      <c r="F112" s="9"/>
      <c r="G112" s="9"/>
    </row>
    <row r="113">
      <c r="A113" s="15"/>
      <c r="F113" s="9"/>
      <c r="G113" s="9"/>
    </row>
    <row r="114">
      <c r="A114" s="15"/>
      <c r="F114" s="9"/>
      <c r="G114" s="9"/>
    </row>
    <row r="115">
      <c r="A115" s="15"/>
      <c r="F115" s="9"/>
      <c r="G115" s="9"/>
    </row>
    <row r="116">
      <c r="A116" s="15"/>
      <c r="F116" s="9"/>
      <c r="G116" s="9"/>
    </row>
    <row r="117">
      <c r="A117" s="15"/>
      <c r="F117" s="9"/>
      <c r="G117" s="9"/>
    </row>
    <row r="118">
      <c r="A118" s="15"/>
      <c r="F118" s="9"/>
      <c r="G118" s="9"/>
    </row>
    <row r="119">
      <c r="A119" s="15"/>
      <c r="F119" s="9"/>
      <c r="G119" s="9"/>
    </row>
    <row r="120">
      <c r="A120" s="15"/>
      <c r="F120" s="9"/>
      <c r="G120" s="9"/>
    </row>
    <row r="121">
      <c r="A121" s="15"/>
      <c r="F121" s="9"/>
      <c r="G121" s="9"/>
    </row>
    <row r="122">
      <c r="A122" s="15"/>
      <c r="F122" s="9"/>
      <c r="G122" s="9"/>
    </row>
    <row r="123">
      <c r="A123" s="15"/>
      <c r="F123" s="9"/>
      <c r="G123" s="9"/>
    </row>
    <row r="124">
      <c r="A124" s="15"/>
      <c r="F124" s="9"/>
      <c r="G124" s="9"/>
    </row>
    <row r="125">
      <c r="A125" s="15"/>
      <c r="F125" s="9"/>
      <c r="G125" s="9"/>
    </row>
    <row r="126">
      <c r="A126" s="15"/>
      <c r="F126" s="9"/>
      <c r="G126" s="9"/>
    </row>
    <row r="127">
      <c r="A127" s="15"/>
      <c r="F127" s="9"/>
      <c r="G127" s="9"/>
    </row>
    <row r="128">
      <c r="A128" s="15"/>
      <c r="F128" s="9"/>
      <c r="G128" s="9"/>
    </row>
    <row r="129">
      <c r="A129" s="15"/>
      <c r="F129" s="9"/>
      <c r="G129" s="9"/>
    </row>
    <row r="130">
      <c r="A130" s="15"/>
      <c r="F130" s="9"/>
      <c r="G130" s="9"/>
    </row>
    <row r="131">
      <c r="A131" s="15"/>
      <c r="F131" s="9"/>
      <c r="G131" s="9"/>
    </row>
    <row r="132">
      <c r="A132" s="15"/>
      <c r="F132" s="9"/>
      <c r="G132" s="9"/>
    </row>
    <row r="133">
      <c r="A133" s="15"/>
      <c r="F133" s="9"/>
      <c r="G133" s="9"/>
    </row>
    <row r="134">
      <c r="A134" s="15"/>
      <c r="F134" s="9"/>
      <c r="G134" s="9"/>
    </row>
    <row r="135">
      <c r="A135" s="15"/>
      <c r="F135" s="9"/>
      <c r="G135" s="9"/>
    </row>
    <row r="136">
      <c r="A136" s="15"/>
      <c r="F136" s="9"/>
      <c r="G136" s="9"/>
    </row>
    <row r="137">
      <c r="A137" s="15"/>
      <c r="F137" s="9"/>
      <c r="G137" s="9"/>
    </row>
    <row r="138">
      <c r="A138" s="15"/>
      <c r="F138" s="9"/>
      <c r="G138" s="9"/>
    </row>
    <row r="139">
      <c r="A139" s="15"/>
      <c r="F139" s="9"/>
      <c r="G139" s="9"/>
    </row>
    <row r="140">
      <c r="A140" s="15"/>
      <c r="F140" s="9"/>
      <c r="G140" s="9"/>
    </row>
    <row r="141">
      <c r="A141" s="15"/>
      <c r="F141" s="9"/>
      <c r="G141" s="9"/>
    </row>
    <row r="142">
      <c r="A142" s="15"/>
      <c r="F142" s="9"/>
      <c r="G142" s="9"/>
    </row>
    <row r="143">
      <c r="A143" s="15"/>
      <c r="F143" s="9"/>
      <c r="G143" s="9"/>
    </row>
    <row r="144">
      <c r="A144" s="15"/>
      <c r="F144" s="9"/>
      <c r="G144" s="9"/>
    </row>
    <row r="145">
      <c r="A145" s="15"/>
      <c r="F145" s="9"/>
      <c r="G145" s="9"/>
    </row>
    <row r="146">
      <c r="A146" s="15"/>
      <c r="F146" s="9"/>
      <c r="G146" s="9"/>
    </row>
    <row r="147">
      <c r="A147" s="15"/>
      <c r="F147" s="9"/>
      <c r="G147" s="9"/>
    </row>
    <row r="148">
      <c r="A148" s="15"/>
      <c r="F148" s="9"/>
      <c r="G148" s="9"/>
    </row>
    <row r="149">
      <c r="A149" s="15"/>
      <c r="F149" s="9"/>
      <c r="G149" s="9"/>
    </row>
    <row r="150">
      <c r="A150" s="15"/>
      <c r="F150" s="9"/>
      <c r="G150" s="9"/>
    </row>
    <row r="151">
      <c r="A151" s="15"/>
      <c r="F151" s="9"/>
      <c r="G151" s="9"/>
    </row>
    <row r="152">
      <c r="A152" s="15"/>
      <c r="F152" s="9"/>
      <c r="G152" s="9"/>
    </row>
    <row r="153">
      <c r="A153" s="15"/>
      <c r="F153" s="9"/>
      <c r="G153" s="9"/>
    </row>
    <row r="154">
      <c r="A154" s="15"/>
      <c r="F154" s="9"/>
      <c r="G154" s="9"/>
    </row>
    <row r="155">
      <c r="A155" s="15"/>
      <c r="F155" s="9"/>
      <c r="G155" s="9"/>
    </row>
    <row r="156">
      <c r="A156" s="15"/>
      <c r="F156" s="9"/>
      <c r="G156" s="9"/>
    </row>
    <row r="157">
      <c r="A157" s="15"/>
      <c r="F157" s="9"/>
      <c r="G157" s="9"/>
    </row>
    <row r="158">
      <c r="A158" s="15"/>
      <c r="F158" s="9"/>
      <c r="G158" s="9"/>
    </row>
    <row r="159">
      <c r="A159" s="15"/>
      <c r="F159" s="9"/>
      <c r="G159" s="9"/>
    </row>
    <row r="160">
      <c r="A160" s="15"/>
      <c r="F160" s="9"/>
      <c r="G160" s="9"/>
    </row>
    <row r="161">
      <c r="A161" s="15"/>
      <c r="F161" s="9"/>
      <c r="G161" s="9"/>
    </row>
    <row r="162">
      <c r="A162" s="15"/>
      <c r="F162" s="9"/>
      <c r="G162" s="9"/>
    </row>
    <row r="163">
      <c r="A163" s="15"/>
      <c r="F163" s="9"/>
      <c r="G163" s="9"/>
    </row>
    <row r="164">
      <c r="A164" s="15"/>
      <c r="F164" s="9"/>
      <c r="G164" s="9"/>
    </row>
    <row r="165">
      <c r="A165" s="15"/>
      <c r="F165" s="9"/>
      <c r="G165" s="9"/>
    </row>
    <row r="166">
      <c r="A166" s="15"/>
      <c r="F166" s="9"/>
      <c r="G166" s="9"/>
    </row>
    <row r="167">
      <c r="A167" s="15"/>
      <c r="F167" s="9"/>
      <c r="G167" s="9"/>
    </row>
    <row r="168">
      <c r="A168" s="15"/>
      <c r="F168" s="9"/>
      <c r="G168" s="9"/>
    </row>
    <row r="169">
      <c r="A169" s="15"/>
      <c r="F169" s="9"/>
      <c r="G169" s="9"/>
    </row>
    <row r="170">
      <c r="A170" s="15"/>
      <c r="F170" s="9"/>
      <c r="G170" s="9"/>
    </row>
    <row r="171">
      <c r="A171" s="15"/>
      <c r="F171" s="9"/>
      <c r="G171" s="9"/>
    </row>
    <row r="172">
      <c r="A172" s="15"/>
      <c r="F172" s="9"/>
      <c r="G172" s="9"/>
    </row>
    <row r="173">
      <c r="A173" s="15"/>
      <c r="F173" s="9"/>
      <c r="G173" s="9"/>
    </row>
    <row r="174">
      <c r="A174" s="15"/>
      <c r="F174" s="9"/>
      <c r="G174" s="9"/>
    </row>
    <row r="175">
      <c r="A175" s="15"/>
      <c r="F175" s="9"/>
      <c r="G175" s="9"/>
    </row>
    <row r="176">
      <c r="A176" s="15"/>
      <c r="F176" s="9"/>
      <c r="G176" s="9"/>
    </row>
    <row r="177">
      <c r="A177" s="15"/>
      <c r="F177" s="9"/>
      <c r="G177" s="9"/>
    </row>
    <row r="178">
      <c r="A178" s="15"/>
      <c r="F178" s="9"/>
      <c r="G178" s="9"/>
    </row>
    <row r="179">
      <c r="A179" s="15"/>
      <c r="F179" s="9"/>
      <c r="G179" s="9"/>
    </row>
    <row r="180">
      <c r="A180" s="15"/>
      <c r="F180" s="9"/>
      <c r="G180" s="9"/>
    </row>
    <row r="181">
      <c r="A181" s="15"/>
      <c r="F181" s="9"/>
      <c r="G181" s="9"/>
    </row>
    <row r="182">
      <c r="A182" s="15"/>
      <c r="F182" s="9"/>
      <c r="G182" s="9"/>
    </row>
    <row r="183">
      <c r="A183" s="15"/>
      <c r="F183" s="9"/>
      <c r="G183" s="9"/>
    </row>
    <row r="184">
      <c r="A184" s="15"/>
      <c r="F184" s="9"/>
      <c r="G184" s="9"/>
    </row>
    <row r="185">
      <c r="A185" s="15"/>
      <c r="F185" s="9"/>
      <c r="G185" s="9"/>
    </row>
    <row r="186">
      <c r="A186" s="15"/>
      <c r="F186" s="9"/>
      <c r="G186" s="9"/>
    </row>
    <row r="187">
      <c r="A187" s="15"/>
      <c r="F187" s="9"/>
      <c r="G187" s="9"/>
    </row>
    <row r="188">
      <c r="A188" s="15"/>
      <c r="F188" s="9"/>
      <c r="G188" s="9"/>
    </row>
    <row r="189">
      <c r="A189" s="15"/>
      <c r="F189" s="9"/>
      <c r="G189" s="9"/>
    </row>
    <row r="190">
      <c r="A190" s="15"/>
      <c r="F190" s="9"/>
      <c r="G190" s="9"/>
    </row>
    <row r="191">
      <c r="A191" s="15"/>
      <c r="F191" s="9"/>
      <c r="G191" s="9"/>
    </row>
    <row r="192">
      <c r="A192" s="15"/>
      <c r="F192" s="9"/>
      <c r="G192" s="9"/>
    </row>
    <row r="193">
      <c r="A193" s="15"/>
      <c r="F193" s="9"/>
      <c r="G193" s="9"/>
    </row>
    <row r="194">
      <c r="A194" s="15"/>
      <c r="F194" s="9"/>
      <c r="G194" s="9"/>
    </row>
    <row r="195">
      <c r="A195" s="15"/>
      <c r="F195" s="9"/>
      <c r="G195" s="9"/>
    </row>
    <row r="196">
      <c r="A196" s="15"/>
      <c r="F196" s="9"/>
      <c r="G196" s="9"/>
    </row>
    <row r="197">
      <c r="A197" s="15"/>
      <c r="F197" s="9"/>
      <c r="G197" s="9"/>
    </row>
    <row r="198">
      <c r="A198" s="15"/>
      <c r="F198" s="9"/>
      <c r="G198" s="9"/>
    </row>
    <row r="199">
      <c r="A199" s="15"/>
      <c r="F199" s="9"/>
      <c r="G199" s="9"/>
    </row>
    <row r="200">
      <c r="A200" s="15"/>
      <c r="F200" s="9"/>
      <c r="G200" s="9"/>
    </row>
    <row r="201">
      <c r="A201" s="15"/>
      <c r="F201" s="9"/>
      <c r="G201" s="9"/>
    </row>
    <row r="202">
      <c r="A202" s="15"/>
      <c r="F202" s="9"/>
      <c r="G202" s="9"/>
    </row>
    <row r="203">
      <c r="A203" s="15"/>
      <c r="F203" s="9"/>
      <c r="G203" s="9"/>
    </row>
    <row r="204">
      <c r="A204" s="15"/>
      <c r="F204" s="9"/>
      <c r="G204" s="9"/>
    </row>
    <row r="205">
      <c r="A205" s="15"/>
      <c r="F205" s="9"/>
      <c r="G205" s="9"/>
    </row>
    <row r="206">
      <c r="A206" s="15"/>
      <c r="F206" s="9"/>
      <c r="G206" s="9"/>
    </row>
    <row r="207">
      <c r="A207" s="15"/>
      <c r="F207" s="9"/>
      <c r="G207" s="9"/>
    </row>
    <row r="208">
      <c r="A208" s="15"/>
      <c r="F208" s="9"/>
      <c r="G208" s="9"/>
    </row>
    <row r="209">
      <c r="A209" s="15"/>
      <c r="F209" s="9"/>
      <c r="G209" s="9"/>
    </row>
    <row r="210">
      <c r="A210" s="15"/>
      <c r="F210" s="9"/>
      <c r="G210" s="9"/>
    </row>
    <row r="211">
      <c r="A211" s="15"/>
      <c r="F211" s="9"/>
      <c r="G211" s="9"/>
    </row>
    <row r="212">
      <c r="A212" s="15"/>
      <c r="F212" s="9"/>
      <c r="G212" s="9"/>
    </row>
    <row r="213">
      <c r="A213" s="15"/>
      <c r="F213" s="9"/>
      <c r="G213" s="9"/>
    </row>
    <row r="214">
      <c r="A214" s="15"/>
      <c r="F214" s="9"/>
      <c r="G214" s="9"/>
    </row>
    <row r="215">
      <c r="A215" s="15"/>
      <c r="F215" s="9"/>
      <c r="G215" s="9"/>
    </row>
    <row r="216">
      <c r="A216" s="15"/>
      <c r="F216" s="9"/>
      <c r="G216" s="9"/>
    </row>
    <row r="217">
      <c r="A217" s="15"/>
      <c r="F217" s="9"/>
      <c r="G217" s="9"/>
    </row>
    <row r="218">
      <c r="A218" s="15"/>
      <c r="F218" s="9"/>
      <c r="G218" s="9"/>
    </row>
    <row r="219">
      <c r="A219" s="15"/>
      <c r="F219" s="9"/>
      <c r="G219" s="9"/>
    </row>
    <row r="220">
      <c r="A220" s="15"/>
      <c r="F220" s="9"/>
      <c r="G220" s="9"/>
    </row>
    <row r="221">
      <c r="A221" s="15"/>
      <c r="F221" s="9"/>
      <c r="G221" s="9"/>
    </row>
    <row r="222">
      <c r="A222" s="15"/>
      <c r="F222" s="9"/>
      <c r="G222" s="9"/>
    </row>
    <row r="223">
      <c r="A223" s="15"/>
      <c r="F223" s="9"/>
      <c r="G223" s="9"/>
    </row>
    <row r="224">
      <c r="A224" s="15"/>
      <c r="F224" s="9"/>
      <c r="G224" s="9"/>
    </row>
    <row r="225">
      <c r="A225" s="15"/>
      <c r="F225" s="9"/>
      <c r="G225" s="9"/>
    </row>
    <row r="226">
      <c r="A226" s="15"/>
      <c r="F226" s="9"/>
      <c r="G226" s="9"/>
    </row>
    <row r="227">
      <c r="A227" s="15"/>
      <c r="F227" s="9"/>
      <c r="G227" s="9"/>
    </row>
    <row r="228">
      <c r="A228" s="15"/>
      <c r="F228" s="9"/>
      <c r="G228" s="9"/>
    </row>
    <row r="229">
      <c r="A229" s="15"/>
      <c r="F229" s="9"/>
      <c r="G229" s="9"/>
    </row>
    <row r="230">
      <c r="A230" s="15"/>
      <c r="F230" s="9"/>
      <c r="G230" s="9"/>
    </row>
    <row r="231">
      <c r="A231" s="15"/>
      <c r="F231" s="9"/>
      <c r="G231" s="9"/>
    </row>
    <row r="232">
      <c r="A232" s="15"/>
      <c r="F232" s="9"/>
      <c r="G232" s="9"/>
    </row>
    <row r="233">
      <c r="A233" s="15"/>
      <c r="F233" s="9"/>
      <c r="G233" s="9"/>
    </row>
    <row r="234">
      <c r="A234" s="15"/>
      <c r="F234" s="9"/>
      <c r="G234" s="9"/>
    </row>
    <row r="235">
      <c r="A235" s="15"/>
      <c r="F235" s="9"/>
      <c r="G235" s="9"/>
    </row>
    <row r="236">
      <c r="A236" s="15"/>
      <c r="F236" s="9"/>
      <c r="G236" s="9"/>
    </row>
    <row r="237">
      <c r="A237" s="15"/>
      <c r="F237" s="9"/>
      <c r="G237" s="9"/>
    </row>
    <row r="238">
      <c r="A238" s="15"/>
      <c r="F238" s="9"/>
      <c r="G238" s="9"/>
    </row>
    <row r="239">
      <c r="A239" s="15"/>
      <c r="F239" s="9"/>
      <c r="G239" s="9"/>
    </row>
    <row r="240">
      <c r="A240" s="15"/>
      <c r="F240" s="9"/>
      <c r="G240" s="9"/>
    </row>
    <row r="241">
      <c r="A241" s="15"/>
      <c r="F241" s="9"/>
      <c r="G241" s="9"/>
    </row>
    <row r="242">
      <c r="A242" s="15"/>
      <c r="F242" s="9"/>
      <c r="G242" s="9"/>
    </row>
    <row r="243">
      <c r="A243" s="15"/>
      <c r="F243" s="9"/>
      <c r="G243" s="9"/>
    </row>
    <row r="244">
      <c r="A244" s="15"/>
      <c r="F244" s="9"/>
      <c r="G244" s="9"/>
    </row>
    <row r="245">
      <c r="A245" s="15"/>
      <c r="F245" s="9"/>
      <c r="G245" s="9"/>
    </row>
    <row r="246">
      <c r="A246" s="15"/>
      <c r="F246" s="9"/>
      <c r="G246" s="9"/>
    </row>
    <row r="247">
      <c r="A247" s="15"/>
      <c r="F247" s="9"/>
      <c r="G247" s="9"/>
    </row>
    <row r="248">
      <c r="A248" s="15"/>
      <c r="F248" s="9"/>
      <c r="G248" s="9"/>
    </row>
    <row r="249">
      <c r="A249" s="15"/>
      <c r="F249" s="9"/>
      <c r="G249" s="9"/>
    </row>
    <row r="250">
      <c r="A250" s="15"/>
      <c r="F250" s="9"/>
      <c r="G250" s="9"/>
    </row>
    <row r="251">
      <c r="A251" s="15"/>
      <c r="F251" s="9"/>
      <c r="G251" s="9"/>
    </row>
    <row r="252">
      <c r="A252" s="15"/>
      <c r="F252" s="9"/>
      <c r="G252" s="9"/>
    </row>
    <row r="253">
      <c r="A253" s="15"/>
      <c r="F253" s="9"/>
      <c r="G253" s="9"/>
    </row>
    <row r="254">
      <c r="A254" s="15"/>
      <c r="F254" s="9"/>
      <c r="G254" s="9"/>
    </row>
    <row r="255">
      <c r="A255" s="15"/>
      <c r="F255" s="9"/>
      <c r="G255" s="9"/>
    </row>
    <row r="256">
      <c r="A256" s="15"/>
      <c r="F256" s="9"/>
      <c r="G256" s="9"/>
    </row>
    <row r="257">
      <c r="A257" s="15"/>
      <c r="F257" s="9"/>
      <c r="G257" s="9"/>
    </row>
    <row r="258">
      <c r="A258" s="15"/>
      <c r="F258" s="9"/>
      <c r="G258" s="9"/>
    </row>
    <row r="259">
      <c r="A259" s="15"/>
      <c r="F259" s="9"/>
      <c r="G259" s="9"/>
    </row>
    <row r="260">
      <c r="A260" s="15"/>
      <c r="F260" s="9"/>
      <c r="G260" s="9"/>
    </row>
    <row r="261">
      <c r="A261" s="15"/>
      <c r="F261" s="9"/>
      <c r="G261" s="9"/>
    </row>
    <row r="262">
      <c r="A262" s="15"/>
      <c r="F262" s="9"/>
      <c r="G262" s="9"/>
    </row>
    <row r="263">
      <c r="A263" s="15"/>
      <c r="F263" s="9"/>
      <c r="G263" s="9"/>
    </row>
    <row r="264">
      <c r="A264" s="15"/>
      <c r="F264" s="9"/>
      <c r="G264" s="9"/>
    </row>
    <row r="265">
      <c r="A265" s="15"/>
      <c r="F265" s="9"/>
      <c r="G265" s="9"/>
    </row>
    <row r="266">
      <c r="A266" s="15"/>
      <c r="F266" s="9"/>
      <c r="G266" s="9"/>
    </row>
    <row r="267">
      <c r="A267" s="15"/>
      <c r="F267" s="9"/>
      <c r="G267" s="9"/>
    </row>
    <row r="268">
      <c r="A268" s="15"/>
      <c r="F268" s="9"/>
      <c r="G268" s="9"/>
    </row>
    <row r="269">
      <c r="A269" s="15"/>
      <c r="F269" s="9"/>
      <c r="G269" s="9"/>
    </row>
    <row r="270">
      <c r="A270" s="15"/>
      <c r="F270" s="9"/>
      <c r="G270" s="9"/>
    </row>
    <row r="271">
      <c r="A271" s="15"/>
      <c r="F271" s="9"/>
      <c r="G271" s="9"/>
    </row>
    <row r="272">
      <c r="A272" s="15"/>
      <c r="F272" s="9"/>
      <c r="G272" s="9"/>
    </row>
    <row r="273">
      <c r="A273" s="15"/>
      <c r="F273" s="9"/>
      <c r="G273" s="9"/>
    </row>
    <row r="274">
      <c r="A274" s="15"/>
      <c r="F274" s="9"/>
      <c r="G274" s="9"/>
    </row>
    <row r="275">
      <c r="A275" s="15"/>
      <c r="F275" s="9"/>
      <c r="G275" s="9"/>
    </row>
    <row r="276">
      <c r="A276" s="15"/>
      <c r="F276" s="9"/>
      <c r="G276" s="9"/>
    </row>
    <row r="277">
      <c r="A277" s="15"/>
      <c r="F277" s="9"/>
      <c r="G277" s="9"/>
    </row>
    <row r="278">
      <c r="A278" s="15"/>
      <c r="F278" s="9"/>
      <c r="G278" s="9"/>
    </row>
    <row r="279">
      <c r="A279" s="15"/>
      <c r="F279" s="9"/>
      <c r="G279" s="9"/>
    </row>
    <row r="280">
      <c r="A280" s="15"/>
      <c r="F280" s="9"/>
      <c r="G280" s="9"/>
    </row>
    <row r="281">
      <c r="A281" s="15"/>
      <c r="F281" s="9"/>
      <c r="G281" s="9"/>
    </row>
    <row r="282">
      <c r="A282" s="15"/>
      <c r="F282" s="9"/>
      <c r="G282" s="9"/>
    </row>
    <row r="283">
      <c r="A283" s="15"/>
      <c r="F283" s="9"/>
      <c r="G283" s="9"/>
    </row>
    <row r="284">
      <c r="A284" s="15"/>
      <c r="F284" s="9"/>
      <c r="G284" s="9"/>
    </row>
    <row r="285">
      <c r="A285" s="15"/>
      <c r="F285" s="9"/>
      <c r="G285" s="9"/>
    </row>
    <row r="286">
      <c r="A286" s="15"/>
      <c r="F286" s="9"/>
      <c r="G286" s="9"/>
    </row>
    <row r="287">
      <c r="A287" s="15"/>
      <c r="F287" s="9"/>
      <c r="G287" s="9"/>
    </row>
    <row r="288">
      <c r="A288" s="15"/>
      <c r="F288" s="9"/>
      <c r="G288" s="9"/>
    </row>
    <row r="289">
      <c r="A289" s="15"/>
      <c r="F289" s="9"/>
      <c r="G289" s="9"/>
    </row>
    <row r="290">
      <c r="A290" s="15"/>
      <c r="F290" s="9"/>
      <c r="G290" s="9"/>
    </row>
    <row r="291">
      <c r="A291" s="15"/>
      <c r="F291" s="9"/>
      <c r="G291" s="9"/>
    </row>
    <row r="292">
      <c r="A292" s="15"/>
      <c r="F292" s="9"/>
      <c r="G292" s="9"/>
    </row>
    <row r="293">
      <c r="A293" s="15"/>
      <c r="F293" s="9"/>
      <c r="G293" s="9"/>
    </row>
    <row r="294">
      <c r="A294" s="15"/>
      <c r="F294" s="9"/>
      <c r="G294" s="9"/>
    </row>
    <row r="295">
      <c r="A295" s="15"/>
      <c r="F295" s="9"/>
      <c r="G295" s="9"/>
    </row>
    <row r="296">
      <c r="A296" s="15"/>
      <c r="F296" s="9"/>
      <c r="G296" s="9"/>
    </row>
    <row r="297">
      <c r="A297" s="15"/>
      <c r="F297" s="9"/>
      <c r="G297" s="9"/>
    </row>
    <row r="298">
      <c r="A298" s="15"/>
      <c r="F298" s="9"/>
      <c r="G298" s="9"/>
    </row>
    <row r="299">
      <c r="A299" s="15"/>
      <c r="F299" s="9"/>
      <c r="G299" s="9"/>
    </row>
    <row r="300">
      <c r="A300" s="15"/>
      <c r="F300" s="9"/>
      <c r="G300" s="9"/>
    </row>
    <row r="301">
      <c r="A301" s="15"/>
      <c r="F301" s="9"/>
      <c r="G301" s="9"/>
    </row>
    <row r="302">
      <c r="A302" s="15"/>
      <c r="F302" s="9"/>
      <c r="G302" s="9"/>
    </row>
    <row r="303">
      <c r="A303" s="15"/>
      <c r="F303" s="9"/>
      <c r="G303" s="9"/>
    </row>
    <row r="304">
      <c r="A304" s="15"/>
      <c r="F304" s="9"/>
      <c r="G304" s="9"/>
    </row>
    <row r="305">
      <c r="A305" s="15"/>
      <c r="F305" s="9"/>
      <c r="G305" s="9"/>
    </row>
    <row r="306">
      <c r="A306" s="15"/>
      <c r="F306" s="9"/>
      <c r="G306" s="9"/>
    </row>
    <row r="307">
      <c r="A307" s="15"/>
      <c r="F307" s="9"/>
      <c r="G307" s="9"/>
    </row>
    <row r="308">
      <c r="A308" s="15"/>
      <c r="F308" s="9"/>
      <c r="G308" s="9"/>
    </row>
    <row r="309">
      <c r="A309" s="15"/>
      <c r="F309" s="9"/>
      <c r="G309" s="9"/>
    </row>
    <row r="310">
      <c r="A310" s="15"/>
      <c r="F310" s="9"/>
      <c r="G310" s="9"/>
    </row>
    <row r="311">
      <c r="A311" s="15"/>
      <c r="F311" s="9"/>
      <c r="G311" s="9"/>
    </row>
    <row r="312">
      <c r="A312" s="15"/>
      <c r="F312" s="9"/>
      <c r="G312" s="9"/>
    </row>
    <row r="313">
      <c r="A313" s="15"/>
      <c r="F313" s="9"/>
      <c r="G313" s="9"/>
    </row>
    <row r="314">
      <c r="A314" s="15"/>
      <c r="F314" s="9"/>
      <c r="G314" s="9"/>
    </row>
    <row r="315">
      <c r="A315" s="15"/>
      <c r="F315" s="9"/>
      <c r="G315" s="9"/>
    </row>
    <row r="316">
      <c r="A316" s="15"/>
      <c r="F316" s="9"/>
      <c r="G316" s="9"/>
    </row>
    <row r="317">
      <c r="A317" s="15"/>
      <c r="F317" s="9"/>
      <c r="G317" s="9"/>
    </row>
    <row r="318">
      <c r="A318" s="15"/>
      <c r="F318" s="9"/>
      <c r="G318" s="9"/>
    </row>
    <row r="319">
      <c r="A319" s="15"/>
      <c r="F319" s="9"/>
      <c r="G319" s="9"/>
    </row>
    <row r="320">
      <c r="A320" s="15"/>
      <c r="F320" s="9"/>
      <c r="G320" s="9"/>
    </row>
    <row r="321">
      <c r="A321" s="15"/>
      <c r="F321" s="9"/>
      <c r="G321" s="9"/>
    </row>
    <row r="322">
      <c r="A322" s="15"/>
      <c r="F322" s="9"/>
      <c r="G322" s="9"/>
    </row>
    <row r="323">
      <c r="A323" s="15"/>
      <c r="F323" s="9"/>
      <c r="G323" s="9"/>
    </row>
    <row r="324">
      <c r="A324" s="15"/>
      <c r="F324" s="9"/>
      <c r="G324" s="9"/>
    </row>
    <row r="325">
      <c r="A325" s="15"/>
      <c r="F325" s="9"/>
      <c r="G325" s="9"/>
    </row>
    <row r="326">
      <c r="A326" s="15"/>
      <c r="F326" s="9"/>
      <c r="G326" s="9"/>
    </row>
    <row r="327">
      <c r="A327" s="15"/>
      <c r="F327" s="9"/>
      <c r="G327" s="9"/>
    </row>
    <row r="328">
      <c r="A328" s="15"/>
      <c r="F328" s="9"/>
      <c r="G328" s="9"/>
    </row>
    <row r="329">
      <c r="A329" s="15"/>
      <c r="F329" s="9"/>
      <c r="G329" s="9"/>
    </row>
    <row r="330">
      <c r="A330" s="15"/>
      <c r="F330" s="9"/>
      <c r="G330" s="9"/>
    </row>
    <row r="331">
      <c r="A331" s="15"/>
      <c r="F331" s="9"/>
      <c r="G331" s="9"/>
    </row>
    <row r="332">
      <c r="A332" s="15"/>
      <c r="F332" s="9"/>
      <c r="G332" s="9"/>
    </row>
    <row r="333">
      <c r="A333" s="15"/>
      <c r="F333" s="9"/>
      <c r="G333" s="9"/>
    </row>
    <row r="334">
      <c r="A334" s="15"/>
      <c r="F334" s="9"/>
      <c r="G334" s="9"/>
    </row>
    <row r="335">
      <c r="A335" s="15"/>
      <c r="F335" s="9"/>
      <c r="G335" s="9"/>
    </row>
    <row r="336">
      <c r="A336" s="15"/>
      <c r="F336" s="9"/>
      <c r="G336" s="9"/>
    </row>
    <row r="337">
      <c r="A337" s="15"/>
      <c r="F337" s="9"/>
      <c r="G337" s="9"/>
    </row>
    <row r="338">
      <c r="A338" s="15"/>
      <c r="F338" s="9"/>
      <c r="G338" s="9"/>
    </row>
    <row r="339">
      <c r="A339" s="15"/>
      <c r="F339" s="9"/>
      <c r="G339" s="9"/>
    </row>
    <row r="340">
      <c r="A340" s="15"/>
      <c r="F340" s="9"/>
      <c r="G340" s="9"/>
    </row>
    <row r="341">
      <c r="A341" s="15"/>
      <c r="F341" s="9"/>
      <c r="G341" s="9"/>
    </row>
    <row r="342">
      <c r="A342" s="15"/>
      <c r="F342" s="9"/>
      <c r="G342" s="9"/>
    </row>
    <row r="343">
      <c r="A343" s="15"/>
      <c r="F343" s="9"/>
      <c r="G343" s="9"/>
    </row>
    <row r="344">
      <c r="A344" s="15"/>
      <c r="F344" s="9"/>
      <c r="G344" s="9"/>
    </row>
    <row r="345">
      <c r="A345" s="15"/>
      <c r="F345" s="9"/>
      <c r="G345" s="9"/>
    </row>
    <row r="346">
      <c r="A346" s="15"/>
      <c r="F346" s="9"/>
      <c r="G346" s="9"/>
    </row>
    <row r="347">
      <c r="A347" s="15"/>
      <c r="F347" s="9"/>
      <c r="G347" s="9"/>
    </row>
    <row r="348">
      <c r="A348" s="15"/>
      <c r="F348" s="9"/>
      <c r="G348" s="9"/>
    </row>
    <row r="349">
      <c r="A349" s="15"/>
      <c r="F349" s="9"/>
      <c r="G349" s="9"/>
    </row>
    <row r="350">
      <c r="A350" s="15"/>
      <c r="F350" s="9"/>
      <c r="G350" s="9"/>
    </row>
    <row r="351">
      <c r="A351" s="15"/>
      <c r="F351" s="9"/>
      <c r="G351" s="9"/>
    </row>
    <row r="352">
      <c r="A352" s="15"/>
      <c r="F352" s="9"/>
      <c r="G352" s="9"/>
    </row>
    <row r="353">
      <c r="A353" s="15"/>
      <c r="F353" s="9"/>
      <c r="G353" s="9"/>
    </row>
    <row r="354">
      <c r="A354" s="15"/>
      <c r="F354" s="9"/>
      <c r="G354" s="9"/>
    </row>
    <row r="355">
      <c r="A355" s="15"/>
      <c r="F355" s="9"/>
      <c r="G355" s="9"/>
    </row>
    <row r="356">
      <c r="A356" s="15"/>
      <c r="F356" s="9"/>
      <c r="G356" s="9"/>
    </row>
    <row r="357">
      <c r="A357" s="15"/>
      <c r="F357" s="9"/>
      <c r="G357" s="9"/>
    </row>
    <row r="358">
      <c r="A358" s="15"/>
      <c r="F358" s="9"/>
      <c r="G358" s="9"/>
    </row>
    <row r="359">
      <c r="A359" s="15"/>
      <c r="F359" s="9"/>
      <c r="G359" s="9"/>
    </row>
    <row r="360">
      <c r="A360" s="15"/>
      <c r="F360" s="9"/>
      <c r="G360" s="9"/>
    </row>
    <row r="361">
      <c r="A361" s="15"/>
      <c r="F361" s="9"/>
      <c r="G361" s="9"/>
    </row>
    <row r="362">
      <c r="A362" s="15"/>
      <c r="F362" s="9"/>
      <c r="G362" s="9"/>
    </row>
    <row r="363">
      <c r="A363" s="15"/>
      <c r="F363" s="9"/>
      <c r="G363" s="9"/>
    </row>
    <row r="364">
      <c r="A364" s="15"/>
      <c r="F364" s="9"/>
      <c r="G364" s="9"/>
    </row>
    <row r="365">
      <c r="A365" s="15"/>
      <c r="F365" s="9"/>
      <c r="G365" s="9"/>
    </row>
    <row r="366">
      <c r="A366" s="15"/>
      <c r="F366" s="9"/>
      <c r="G366" s="9"/>
    </row>
    <row r="367">
      <c r="A367" s="15"/>
      <c r="F367" s="9"/>
      <c r="G367" s="9"/>
    </row>
    <row r="368">
      <c r="A368" s="15"/>
      <c r="F368" s="9"/>
      <c r="G368" s="9"/>
    </row>
    <row r="369">
      <c r="A369" s="15"/>
      <c r="F369" s="9"/>
      <c r="G369" s="9"/>
    </row>
    <row r="370">
      <c r="A370" s="15"/>
      <c r="F370" s="9"/>
      <c r="G370" s="9"/>
    </row>
    <row r="371">
      <c r="A371" s="15"/>
      <c r="F371" s="9"/>
      <c r="G371" s="9"/>
    </row>
    <row r="372">
      <c r="A372" s="15"/>
      <c r="F372" s="9"/>
      <c r="G372" s="9"/>
    </row>
    <row r="373">
      <c r="A373" s="15"/>
      <c r="F373" s="9"/>
      <c r="G373" s="9"/>
    </row>
    <row r="374">
      <c r="A374" s="15"/>
      <c r="F374" s="9"/>
      <c r="G374" s="9"/>
    </row>
    <row r="375">
      <c r="A375" s="15"/>
      <c r="F375" s="9"/>
      <c r="G375" s="9"/>
    </row>
    <row r="376">
      <c r="A376" s="15"/>
      <c r="F376" s="9"/>
      <c r="G376" s="9"/>
    </row>
    <row r="377">
      <c r="A377" s="15"/>
      <c r="F377" s="9"/>
      <c r="G377" s="9"/>
    </row>
    <row r="378">
      <c r="A378" s="15"/>
      <c r="F378" s="9"/>
      <c r="G378" s="9"/>
    </row>
    <row r="379">
      <c r="A379" s="15"/>
      <c r="F379" s="9"/>
      <c r="G379" s="9"/>
    </row>
    <row r="380">
      <c r="A380" s="15"/>
      <c r="F380" s="9"/>
      <c r="G380" s="9"/>
    </row>
    <row r="381">
      <c r="A381" s="15"/>
      <c r="F381" s="9"/>
      <c r="G381" s="9"/>
    </row>
    <row r="382">
      <c r="A382" s="15"/>
      <c r="F382" s="9"/>
      <c r="G382" s="9"/>
    </row>
    <row r="383">
      <c r="A383" s="15"/>
      <c r="F383" s="9"/>
      <c r="G383" s="9"/>
    </row>
    <row r="384">
      <c r="A384" s="15"/>
      <c r="F384" s="9"/>
      <c r="G384" s="9"/>
    </row>
    <row r="385">
      <c r="A385" s="15"/>
      <c r="F385" s="9"/>
      <c r="G385" s="9"/>
    </row>
    <row r="386">
      <c r="A386" s="15"/>
      <c r="F386" s="9"/>
      <c r="G386" s="9"/>
    </row>
    <row r="387">
      <c r="A387" s="15"/>
      <c r="F387" s="9"/>
      <c r="G387" s="9"/>
    </row>
    <row r="388">
      <c r="A388" s="15"/>
      <c r="F388" s="9"/>
      <c r="G388" s="9"/>
    </row>
    <row r="389">
      <c r="A389" s="15"/>
      <c r="F389" s="9"/>
      <c r="G389" s="9"/>
    </row>
    <row r="390">
      <c r="A390" s="15"/>
      <c r="F390" s="9"/>
      <c r="G390" s="9"/>
    </row>
    <row r="391">
      <c r="A391" s="15"/>
      <c r="F391" s="9"/>
      <c r="G391" s="9"/>
    </row>
    <row r="392">
      <c r="A392" s="15"/>
      <c r="F392" s="9"/>
      <c r="G392" s="9"/>
    </row>
    <row r="393">
      <c r="A393" s="15"/>
      <c r="F393" s="9"/>
      <c r="G393" s="9"/>
    </row>
    <row r="394">
      <c r="A394" s="15"/>
      <c r="F394" s="9"/>
      <c r="G394" s="9"/>
    </row>
    <row r="395">
      <c r="A395" s="15"/>
      <c r="F395" s="9"/>
      <c r="G395" s="9"/>
    </row>
    <row r="396">
      <c r="A396" s="15"/>
      <c r="F396" s="9"/>
      <c r="G396" s="9"/>
    </row>
    <row r="397">
      <c r="A397" s="15"/>
      <c r="F397" s="9"/>
      <c r="G397" s="9"/>
    </row>
    <row r="398">
      <c r="A398" s="15"/>
      <c r="F398" s="9"/>
      <c r="G398" s="9"/>
    </row>
    <row r="399">
      <c r="A399" s="15"/>
      <c r="F399" s="9"/>
      <c r="G399" s="9"/>
    </row>
    <row r="400">
      <c r="A400" s="15"/>
      <c r="F400" s="9"/>
      <c r="G400" s="9"/>
    </row>
    <row r="401">
      <c r="A401" s="15"/>
      <c r="F401" s="9"/>
      <c r="G401" s="9"/>
    </row>
    <row r="402">
      <c r="A402" s="15"/>
      <c r="F402" s="9"/>
      <c r="G402" s="9"/>
    </row>
    <row r="403">
      <c r="A403" s="15"/>
      <c r="F403" s="9"/>
      <c r="G403" s="9"/>
    </row>
    <row r="404">
      <c r="A404" s="15"/>
      <c r="F404" s="9"/>
      <c r="G404" s="9"/>
    </row>
    <row r="405">
      <c r="A405" s="15"/>
      <c r="F405" s="9"/>
      <c r="G405" s="9"/>
    </row>
    <row r="406">
      <c r="A406" s="15"/>
      <c r="F406" s="9"/>
      <c r="G406" s="9"/>
    </row>
    <row r="407">
      <c r="A407" s="15"/>
      <c r="F407" s="9"/>
      <c r="G407" s="9"/>
    </row>
    <row r="408">
      <c r="A408" s="15"/>
      <c r="F408" s="9"/>
      <c r="G408" s="9"/>
    </row>
    <row r="409">
      <c r="A409" s="15"/>
      <c r="F409" s="9"/>
      <c r="G409" s="9"/>
    </row>
    <row r="410">
      <c r="A410" s="15"/>
      <c r="F410" s="9"/>
      <c r="G410" s="9"/>
    </row>
    <row r="411">
      <c r="A411" s="15"/>
      <c r="F411" s="9"/>
      <c r="G411" s="9"/>
    </row>
    <row r="412">
      <c r="A412" s="15"/>
      <c r="F412" s="9"/>
      <c r="G412" s="9"/>
    </row>
    <row r="413">
      <c r="A413" s="15"/>
      <c r="F413" s="9"/>
      <c r="G413" s="9"/>
    </row>
    <row r="414">
      <c r="A414" s="15"/>
      <c r="F414" s="9"/>
      <c r="G414" s="9"/>
    </row>
    <row r="415">
      <c r="A415" s="15"/>
      <c r="F415" s="9"/>
      <c r="G415" s="9"/>
    </row>
    <row r="416">
      <c r="A416" s="15"/>
      <c r="F416" s="9"/>
      <c r="G416" s="9"/>
    </row>
    <row r="417">
      <c r="A417" s="15"/>
      <c r="F417" s="9"/>
      <c r="G417" s="9"/>
    </row>
    <row r="418">
      <c r="A418" s="15"/>
      <c r="F418" s="9"/>
      <c r="G418" s="9"/>
    </row>
    <row r="419">
      <c r="A419" s="15"/>
      <c r="F419" s="9"/>
      <c r="G419" s="9"/>
    </row>
    <row r="420">
      <c r="A420" s="15"/>
      <c r="F420" s="9"/>
      <c r="G420" s="9"/>
    </row>
    <row r="421">
      <c r="A421" s="15"/>
      <c r="F421" s="9"/>
      <c r="G421" s="9"/>
    </row>
    <row r="422">
      <c r="A422" s="15"/>
      <c r="F422" s="9"/>
      <c r="G422" s="9"/>
    </row>
    <row r="423">
      <c r="A423" s="15"/>
      <c r="F423" s="9"/>
      <c r="G423" s="9"/>
    </row>
    <row r="424">
      <c r="A424" s="15"/>
      <c r="F424" s="9"/>
      <c r="G424" s="9"/>
    </row>
    <row r="425">
      <c r="A425" s="15"/>
      <c r="F425" s="9"/>
      <c r="G425" s="9"/>
    </row>
    <row r="426">
      <c r="A426" s="15"/>
      <c r="F426" s="9"/>
      <c r="G426" s="9"/>
    </row>
    <row r="427">
      <c r="A427" s="15"/>
      <c r="F427" s="9"/>
      <c r="G427" s="9"/>
    </row>
    <row r="428">
      <c r="A428" s="15"/>
      <c r="F428" s="9"/>
      <c r="G428" s="9"/>
    </row>
    <row r="429">
      <c r="A429" s="15"/>
      <c r="F429" s="9"/>
      <c r="G429" s="9"/>
    </row>
    <row r="430">
      <c r="A430" s="15"/>
      <c r="F430" s="9"/>
      <c r="G430" s="9"/>
    </row>
    <row r="431">
      <c r="A431" s="15"/>
      <c r="F431" s="9"/>
      <c r="G431" s="9"/>
    </row>
    <row r="432">
      <c r="A432" s="15"/>
      <c r="F432" s="9"/>
      <c r="G432" s="9"/>
    </row>
    <row r="433">
      <c r="A433" s="15"/>
      <c r="F433" s="9"/>
      <c r="G433" s="9"/>
    </row>
    <row r="434">
      <c r="A434" s="15"/>
      <c r="F434" s="9"/>
      <c r="G434" s="9"/>
    </row>
    <row r="435">
      <c r="A435" s="15"/>
      <c r="F435" s="9"/>
      <c r="G435" s="9"/>
    </row>
    <row r="436">
      <c r="A436" s="15"/>
      <c r="F436" s="9"/>
      <c r="G436" s="9"/>
    </row>
    <row r="437">
      <c r="A437" s="15"/>
      <c r="F437" s="9"/>
      <c r="G437" s="9"/>
    </row>
    <row r="438">
      <c r="A438" s="15"/>
      <c r="F438" s="9"/>
      <c r="G438" s="9"/>
    </row>
    <row r="439">
      <c r="A439" s="15"/>
      <c r="F439" s="9"/>
      <c r="G439" s="9"/>
    </row>
    <row r="440">
      <c r="A440" s="15"/>
      <c r="F440" s="9"/>
      <c r="G440" s="9"/>
    </row>
    <row r="441">
      <c r="A441" s="15"/>
      <c r="F441" s="9"/>
      <c r="G441" s="9"/>
    </row>
    <row r="442">
      <c r="A442" s="15"/>
      <c r="F442" s="9"/>
      <c r="G442" s="9"/>
    </row>
    <row r="443">
      <c r="A443" s="15"/>
      <c r="F443" s="9"/>
      <c r="G443" s="9"/>
    </row>
    <row r="444">
      <c r="A444" s="15"/>
      <c r="F444" s="9"/>
      <c r="G444" s="9"/>
    </row>
    <row r="445">
      <c r="A445" s="15"/>
      <c r="F445" s="9"/>
      <c r="G445" s="9"/>
    </row>
    <row r="446">
      <c r="A446" s="15"/>
      <c r="F446" s="9"/>
      <c r="G446" s="9"/>
    </row>
    <row r="447">
      <c r="A447" s="15"/>
      <c r="F447" s="9"/>
      <c r="G447" s="9"/>
    </row>
    <row r="448">
      <c r="A448" s="15"/>
      <c r="F448" s="9"/>
      <c r="G448" s="9"/>
    </row>
    <row r="449">
      <c r="A449" s="15"/>
      <c r="F449" s="9"/>
      <c r="G449" s="9"/>
    </row>
    <row r="450">
      <c r="A450" s="15"/>
      <c r="F450" s="9"/>
      <c r="G450" s="9"/>
    </row>
    <row r="451">
      <c r="A451" s="15"/>
      <c r="F451" s="9"/>
      <c r="G451" s="9"/>
    </row>
    <row r="452">
      <c r="A452" s="15"/>
      <c r="F452" s="9"/>
      <c r="G452" s="9"/>
    </row>
    <row r="453">
      <c r="A453" s="15"/>
      <c r="F453" s="9"/>
      <c r="G453" s="9"/>
    </row>
    <row r="454">
      <c r="A454" s="15"/>
      <c r="F454" s="9"/>
      <c r="G454" s="9"/>
    </row>
    <row r="455">
      <c r="A455" s="15"/>
      <c r="F455" s="9"/>
      <c r="G455" s="9"/>
    </row>
    <row r="456">
      <c r="A456" s="15"/>
      <c r="F456" s="9"/>
      <c r="G456" s="9"/>
    </row>
    <row r="457">
      <c r="A457" s="15"/>
      <c r="F457" s="9"/>
      <c r="G457" s="9"/>
    </row>
    <row r="458">
      <c r="A458" s="15"/>
      <c r="F458" s="9"/>
      <c r="G458" s="9"/>
    </row>
    <row r="459">
      <c r="A459" s="15"/>
      <c r="F459" s="9"/>
      <c r="G459" s="9"/>
    </row>
    <row r="460">
      <c r="A460" s="15"/>
      <c r="F460" s="9"/>
      <c r="G460" s="9"/>
    </row>
    <row r="461">
      <c r="A461" s="15"/>
      <c r="F461" s="9"/>
      <c r="G461" s="9"/>
    </row>
    <row r="462">
      <c r="A462" s="15"/>
      <c r="F462" s="9"/>
      <c r="G462" s="9"/>
    </row>
    <row r="463">
      <c r="A463" s="15"/>
      <c r="F463" s="9"/>
      <c r="G463" s="9"/>
    </row>
    <row r="464">
      <c r="A464" s="15"/>
      <c r="F464" s="9"/>
      <c r="G464" s="9"/>
    </row>
    <row r="465">
      <c r="A465" s="15"/>
      <c r="F465" s="9"/>
      <c r="G465" s="9"/>
    </row>
    <row r="466">
      <c r="A466" s="15"/>
      <c r="F466" s="9"/>
      <c r="G466" s="9"/>
    </row>
    <row r="467">
      <c r="A467" s="15"/>
      <c r="F467" s="9"/>
      <c r="G467" s="9"/>
    </row>
    <row r="468">
      <c r="A468" s="15"/>
      <c r="F468" s="9"/>
      <c r="G468" s="9"/>
    </row>
    <row r="469">
      <c r="A469" s="15"/>
      <c r="F469" s="9"/>
      <c r="G469" s="9"/>
    </row>
    <row r="470">
      <c r="A470" s="15"/>
      <c r="F470" s="9"/>
      <c r="G470" s="9"/>
    </row>
    <row r="471">
      <c r="A471" s="15"/>
      <c r="F471" s="9"/>
      <c r="G471" s="9"/>
    </row>
    <row r="472">
      <c r="A472" s="15"/>
      <c r="F472" s="9"/>
      <c r="G472" s="9"/>
    </row>
    <row r="473">
      <c r="A473" s="15"/>
      <c r="F473" s="9"/>
      <c r="G473" s="9"/>
    </row>
    <row r="474">
      <c r="A474" s="15"/>
      <c r="F474" s="9"/>
      <c r="G474" s="9"/>
    </row>
    <row r="475">
      <c r="A475" s="15"/>
      <c r="F475" s="9"/>
      <c r="G475" s="9"/>
    </row>
    <row r="476">
      <c r="A476" s="15"/>
      <c r="F476" s="9"/>
      <c r="G476" s="9"/>
    </row>
    <row r="477">
      <c r="A477" s="15"/>
      <c r="F477" s="9"/>
      <c r="G477" s="9"/>
    </row>
    <row r="478">
      <c r="A478" s="15"/>
      <c r="F478" s="9"/>
      <c r="G478" s="9"/>
    </row>
    <row r="479">
      <c r="A479" s="15"/>
      <c r="F479" s="9"/>
      <c r="G479" s="9"/>
    </row>
    <row r="480">
      <c r="A480" s="15"/>
      <c r="F480" s="9"/>
      <c r="G480" s="9"/>
    </row>
    <row r="481">
      <c r="A481" s="15"/>
      <c r="F481" s="9"/>
      <c r="G481" s="9"/>
    </row>
    <row r="482">
      <c r="A482" s="15"/>
      <c r="F482" s="9"/>
      <c r="G482" s="9"/>
    </row>
    <row r="483">
      <c r="A483" s="15"/>
      <c r="F483" s="9"/>
      <c r="G483" s="9"/>
    </row>
    <row r="484">
      <c r="A484" s="15"/>
      <c r="F484" s="9"/>
      <c r="G484" s="9"/>
    </row>
    <row r="485">
      <c r="A485" s="15"/>
      <c r="F485" s="9"/>
      <c r="G485" s="9"/>
    </row>
    <row r="486">
      <c r="A486" s="15"/>
      <c r="F486" s="9"/>
      <c r="G486" s="9"/>
    </row>
    <row r="487">
      <c r="A487" s="15"/>
      <c r="F487" s="9"/>
      <c r="G487" s="9"/>
    </row>
    <row r="488">
      <c r="A488" s="15"/>
      <c r="F488" s="9"/>
      <c r="G488" s="9"/>
    </row>
    <row r="489">
      <c r="A489" s="15"/>
      <c r="F489" s="9"/>
      <c r="G489" s="9"/>
    </row>
    <row r="490">
      <c r="A490" s="15"/>
      <c r="F490" s="9"/>
      <c r="G490" s="9"/>
    </row>
    <row r="491">
      <c r="A491" s="15"/>
      <c r="F491" s="9"/>
      <c r="G491" s="9"/>
    </row>
    <row r="492">
      <c r="A492" s="15"/>
      <c r="F492" s="9"/>
      <c r="G492" s="9"/>
    </row>
    <row r="493">
      <c r="A493" s="15"/>
      <c r="F493" s="9"/>
      <c r="G493" s="9"/>
    </row>
    <row r="494">
      <c r="A494" s="15"/>
      <c r="F494" s="9"/>
      <c r="G494" s="9"/>
    </row>
    <row r="495">
      <c r="A495" s="15"/>
      <c r="F495" s="9"/>
      <c r="G495" s="9"/>
    </row>
    <row r="496">
      <c r="A496" s="15"/>
      <c r="F496" s="9"/>
      <c r="G496" s="9"/>
    </row>
    <row r="497">
      <c r="A497" s="15"/>
      <c r="F497" s="9"/>
      <c r="G497" s="9"/>
    </row>
    <row r="498">
      <c r="A498" s="15"/>
      <c r="F498" s="9"/>
      <c r="G498" s="9"/>
    </row>
    <row r="499">
      <c r="A499" s="15"/>
      <c r="F499" s="9"/>
      <c r="G499" s="9"/>
    </row>
    <row r="500">
      <c r="A500" s="15"/>
      <c r="F500" s="9"/>
      <c r="G500" s="9"/>
    </row>
    <row r="501">
      <c r="A501" s="15"/>
      <c r="F501" s="9"/>
      <c r="G501" s="9"/>
    </row>
    <row r="502">
      <c r="A502" s="15"/>
      <c r="F502" s="9"/>
      <c r="G502" s="9"/>
    </row>
    <row r="503">
      <c r="A503" s="15"/>
      <c r="F503" s="9"/>
      <c r="G503" s="9"/>
    </row>
    <row r="504">
      <c r="A504" s="15"/>
      <c r="F504" s="9"/>
      <c r="G504" s="9"/>
    </row>
    <row r="505">
      <c r="A505" s="15"/>
      <c r="F505" s="9"/>
      <c r="G505" s="9"/>
    </row>
    <row r="506">
      <c r="A506" s="15"/>
      <c r="F506" s="9"/>
      <c r="G506" s="9"/>
    </row>
    <row r="507">
      <c r="A507" s="15"/>
      <c r="F507" s="9"/>
      <c r="G507" s="9"/>
    </row>
    <row r="508">
      <c r="A508" s="15"/>
      <c r="F508" s="9"/>
      <c r="G508" s="9"/>
    </row>
    <row r="509">
      <c r="A509" s="15"/>
      <c r="F509" s="9"/>
      <c r="G509" s="9"/>
    </row>
    <row r="510">
      <c r="A510" s="15"/>
      <c r="F510" s="9"/>
      <c r="G510" s="9"/>
    </row>
    <row r="511">
      <c r="A511" s="15"/>
      <c r="F511" s="9"/>
      <c r="G511" s="9"/>
    </row>
    <row r="512">
      <c r="A512" s="15"/>
      <c r="F512" s="9"/>
      <c r="G512" s="9"/>
    </row>
    <row r="513">
      <c r="A513" s="15"/>
      <c r="F513" s="9"/>
      <c r="G513" s="9"/>
    </row>
    <row r="514">
      <c r="A514" s="15"/>
      <c r="F514" s="9"/>
      <c r="G514" s="9"/>
    </row>
    <row r="515">
      <c r="A515" s="15"/>
      <c r="F515" s="9"/>
      <c r="G515" s="9"/>
    </row>
    <row r="516">
      <c r="A516" s="15"/>
      <c r="F516" s="9"/>
      <c r="G516" s="9"/>
    </row>
    <row r="517">
      <c r="A517" s="15"/>
      <c r="F517" s="9"/>
      <c r="G517" s="9"/>
    </row>
    <row r="518">
      <c r="A518" s="15"/>
      <c r="F518" s="9"/>
      <c r="G518" s="9"/>
    </row>
    <row r="519">
      <c r="A519" s="15"/>
      <c r="F519" s="9"/>
      <c r="G519" s="9"/>
    </row>
    <row r="520">
      <c r="A520" s="15"/>
      <c r="F520" s="9"/>
      <c r="G520" s="9"/>
    </row>
    <row r="521">
      <c r="A521" s="15"/>
      <c r="F521" s="9"/>
      <c r="G521" s="9"/>
    </row>
    <row r="522">
      <c r="A522" s="15"/>
      <c r="F522" s="9"/>
      <c r="G522" s="9"/>
    </row>
    <row r="523">
      <c r="A523" s="15"/>
      <c r="F523" s="9"/>
      <c r="G523" s="9"/>
    </row>
    <row r="524">
      <c r="A524" s="15"/>
      <c r="F524" s="9"/>
      <c r="G524" s="9"/>
    </row>
    <row r="525">
      <c r="A525" s="15"/>
      <c r="F525" s="9"/>
      <c r="G525" s="9"/>
    </row>
    <row r="526">
      <c r="A526" s="15"/>
      <c r="F526" s="9"/>
      <c r="G526" s="9"/>
    </row>
    <row r="527">
      <c r="A527" s="15"/>
      <c r="F527" s="9"/>
      <c r="G527" s="9"/>
    </row>
    <row r="528">
      <c r="A528" s="15"/>
      <c r="F528" s="9"/>
      <c r="G528" s="9"/>
    </row>
    <row r="529">
      <c r="A529" s="15"/>
      <c r="F529" s="9"/>
      <c r="G529" s="9"/>
    </row>
    <row r="530">
      <c r="A530" s="15"/>
      <c r="F530" s="9"/>
      <c r="G530" s="9"/>
    </row>
    <row r="531">
      <c r="A531" s="15"/>
      <c r="F531" s="9"/>
      <c r="G531" s="9"/>
    </row>
    <row r="532">
      <c r="A532" s="15"/>
      <c r="F532" s="9"/>
      <c r="G532" s="9"/>
    </row>
    <row r="533">
      <c r="A533" s="15"/>
      <c r="F533" s="9"/>
      <c r="G533" s="9"/>
    </row>
    <row r="534">
      <c r="A534" s="15"/>
      <c r="F534" s="9"/>
      <c r="G534" s="9"/>
    </row>
    <row r="535">
      <c r="A535" s="15"/>
      <c r="F535" s="9"/>
      <c r="G535" s="9"/>
    </row>
    <row r="536">
      <c r="A536" s="15"/>
      <c r="F536" s="9"/>
      <c r="G536" s="9"/>
    </row>
    <row r="537">
      <c r="A537" s="15"/>
      <c r="F537" s="9"/>
      <c r="G537" s="9"/>
    </row>
    <row r="538">
      <c r="A538" s="15"/>
      <c r="F538" s="9"/>
      <c r="G538" s="9"/>
    </row>
    <row r="539">
      <c r="A539" s="15"/>
      <c r="F539" s="9"/>
      <c r="G539" s="9"/>
    </row>
    <row r="540">
      <c r="A540" s="15"/>
      <c r="F540" s="9"/>
      <c r="G540" s="9"/>
    </row>
    <row r="541">
      <c r="A541" s="15"/>
      <c r="F541" s="9"/>
      <c r="G541" s="9"/>
    </row>
    <row r="542">
      <c r="A542" s="15"/>
      <c r="F542" s="9"/>
      <c r="G542" s="9"/>
    </row>
    <row r="543">
      <c r="A543" s="15"/>
      <c r="F543" s="9"/>
      <c r="G543" s="9"/>
    </row>
    <row r="544">
      <c r="A544" s="15"/>
      <c r="F544" s="9"/>
      <c r="G544" s="9"/>
    </row>
    <row r="545">
      <c r="A545" s="15"/>
      <c r="F545" s="9"/>
      <c r="G545" s="9"/>
    </row>
    <row r="546">
      <c r="A546" s="15"/>
      <c r="F546" s="9"/>
      <c r="G546" s="9"/>
    </row>
    <row r="547">
      <c r="A547" s="15"/>
      <c r="F547" s="9"/>
      <c r="G547" s="9"/>
    </row>
    <row r="548">
      <c r="A548" s="15"/>
      <c r="F548" s="9"/>
      <c r="G548" s="9"/>
    </row>
    <row r="549">
      <c r="A549" s="15"/>
      <c r="F549" s="9"/>
      <c r="G549" s="9"/>
    </row>
    <row r="550">
      <c r="A550" s="15"/>
      <c r="F550" s="9"/>
      <c r="G550" s="9"/>
    </row>
    <row r="551">
      <c r="A551" s="15"/>
      <c r="F551" s="9"/>
      <c r="G551" s="9"/>
    </row>
    <row r="552">
      <c r="A552" s="15"/>
      <c r="F552" s="9"/>
      <c r="G552" s="9"/>
    </row>
    <row r="553">
      <c r="A553" s="15"/>
      <c r="F553" s="9"/>
      <c r="G553" s="9"/>
    </row>
    <row r="554">
      <c r="A554" s="15"/>
      <c r="F554" s="9"/>
      <c r="G554" s="9"/>
    </row>
    <row r="555">
      <c r="A555" s="15"/>
      <c r="F555" s="9"/>
      <c r="G555" s="9"/>
    </row>
    <row r="556">
      <c r="A556" s="15"/>
      <c r="F556" s="9"/>
      <c r="G556" s="9"/>
    </row>
    <row r="557">
      <c r="A557" s="15"/>
      <c r="F557" s="9"/>
      <c r="G557" s="9"/>
    </row>
    <row r="558">
      <c r="A558" s="15"/>
      <c r="F558" s="9"/>
      <c r="G558" s="9"/>
    </row>
    <row r="559">
      <c r="A559" s="15"/>
      <c r="F559" s="9"/>
      <c r="G559" s="9"/>
    </row>
    <row r="560">
      <c r="A560" s="15"/>
      <c r="F560" s="9"/>
      <c r="G560" s="9"/>
    </row>
    <row r="561">
      <c r="A561" s="15"/>
      <c r="F561" s="9"/>
      <c r="G561" s="9"/>
    </row>
    <row r="562">
      <c r="A562" s="15"/>
      <c r="F562" s="9"/>
      <c r="G562" s="9"/>
    </row>
    <row r="563">
      <c r="A563" s="15"/>
      <c r="F563" s="9"/>
      <c r="G563" s="9"/>
    </row>
    <row r="564">
      <c r="A564" s="15"/>
      <c r="F564" s="9"/>
      <c r="G564" s="9"/>
    </row>
    <row r="565">
      <c r="A565" s="15"/>
      <c r="F565" s="9"/>
      <c r="G565" s="9"/>
    </row>
    <row r="566">
      <c r="A566" s="15"/>
      <c r="F566" s="9"/>
      <c r="G566" s="9"/>
    </row>
    <row r="567">
      <c r="A567" s="15"/>
      <c r="F567" s="9"/>
      <c r="G567" s="9"/>
    </row>
    <row r="568">
      <c r="A568" s="15"/>
      <c r="F568" s="9"/>
      <c r="G568" s="9"/>
    </row>
    <row r="569">
      <c r="A569" s="15"/>
      <c r="F569" s="9"/>
      <c r="G569" s="9"/>
    </row>
    <row r="570">
      <c r="A570" s="15"/>
      <c r="F570" s="9"/>
      <c r="G570" s="9"/>
    </row>
    <row r="571">
      <c r="A571" s="15"/>
      <c r="F571" s="9"/>
      <c r="G571" s="9"/>
    </row>
    <row r="572">
      <c r="A572" s="15"/>
      <c r="F572" s="9"/>
      <c r="G572" s="9"/>
    </row>
    <row r="573">
      <c r="A573" s="15"/>
      <c r="F573" s="9"/>
      <c r="G573" s="9"/>
    </row>
    <row r="574">
      <c r="A574" s="15"/>
      <c r="F574" s="9"/>
      <c r="G574" s="9"/>
    </row>
    <row r="575">
      <c r="A575" s="15"/>
      <c r="F575" s="9"/>
      <c r="G575" s="9"/>
    </row>
    <row r="576">
      <c r="A576" s="15"/>
      <c r="F576" s="9"/>
      <c r="G576" s="9"/>
    </row>
    <row r="577">
      <c r="A577" s="15"/>
      <c r="F577" s="9"/>
      <c r="G577" s="9"/>
    </row>
    <row r="578">
      <c r="A578" s="15"/>
      <c r="F578" s="9"/>
      <c r="G578" s="9"/>
    </row>
    <row r="579">
      <c r="A579" s="15"/>
      <c r="F579" s="9"/>
      <c r="G579" s="9"/>
    </row>
    <row r="580">
      <c r="A580" s="15"/>
      <c r="F580" s="9"/>
      <c r="G580" s="9"/>
    </row>
    <row r="581">
      <c r="A581" s="15"/>
      <c r="F581" s="9"/>
      <c r="G581" s="9"/>
    </row>
    <row r="582">
      <c r="A582" s="15"/>
      <c r="F582" s="9"/>
      <c r="G582" s="9"/>
    </row>
    <row r="583">
      <c r="A583" s="15"/>
      <c r="F583" s="9"/>
      <c r="G583" s="9"/>
    </row>
    <row r="584">
      <c r="A584" s="15"/>
      <c r="F584" s="9"/>
      <c r="G584" s="9"/>
    </row>
    <row r="585">
      <c r="A585" s="15"/>
      <c r="F585" s="9"/>
      <c r="G585" s="9"/>
    </row>
    <row r="586">
      <c r="A586" s="15"/>
      <c r="F586" s="9"/>
      <c r="G586" s="9"/>
    </row>
    <row r="587">
      <c r="A587" s="15"/>
      <c r="F587" s="9"/>
      <c r="G587" s="9"/>
    </row>
    <row r="588">
      <c r="A588" s="15"/>
      <c r="F588" s="9"/>
      <c r="G588" s="9"/>
    </row>
    <row r="589">
      <c r="A589" s="15"/>
      <c r="F589" s="9"/>
      <c r="G589" s="9"/>
    </row>
    <row r="590">
      <c r="A590" s="15"/>
      <c r="F590" s="9"/>
      <c r="G590" s="9"/>
    </row>
    <row r="591">
      <c r="A591" s="15"/>
      <c r="F591" s="9"/>
      <c r="G591" s="9"/>
    </row>
    <row r="592">
      <c r="A592" s="15"/>
      <c r="F592" s="9"/>
      <c r="G592" s="9"/>
    </row>
    <row r="593">
      <c r="A593" s="15"/>
      <c r="F593" s="9"/>
      <c r="G593" s="9"/>
    </row>
    <row r="594">
      <c r="A594" s="15"/>
      <c r="F594" s="9"/>
      <c r="G594" s="9"/>
    </row>
    <row r="595">
      <c r="A595" s="15"/>
      <c r="F595" s="9"/>
      <c r="G595" s="9"/>
    </row>
    <row r="596">
      <c r="A596" s="15"/>
      <c r="F596" s="9"/>
      <c r="G596" s="9"/>
    </row>
    <row r="597">
      <c r="A597" s="15"/>
      <c r="F597" s="9"/>
      <c r="G597" s="9"/>
    </row>
    <row r="598">
      <c r="A598" s="15"/>
      <c r="F598" s="9"/>
      <c r="G598" s="9"/>
    </row>
    <row r="599">
      <c r="A599" s="15"/>
      <c r="F599" s="9"/>
      <c r="G599" s="9"/>
    </row>
    <row r="600">
      <c r="A600" s="15"/>
      <c r="F600" s="9"/>
      <c r="G600" s="9"/>
    </row>
    <row r="601">
      <c r="A601" s="15"/>
      <c r="F601" s="9"/>
      <c r="G601" s="9"/>
    </row>
    <row r="602">
      <c r="A602" s="15"/>
      <c r="F602" s="9"/>
      <c r="G602" s="9"/>
    </row>
    <row r="603">
      <c r="A603" s="15"/>
      <c r="F603" s="9"/>
      <c r="G603" s="9"/>
    </row>
    <row r="604">
      <c r="A604" s="15"/>
      <c r="F604" s="9"/>
      <c r="G604" s="9"/>
    </row>
    <row r="605">
      <c r="A605" s="15"/>
      <c r="F605" s="9"/>
      <c r="G605" s="9"/>
    </row>
    <row r="606">
      <c r="A606" s="15"/>
      <c r="F606" s="9"/>
      <c r="G606" s="9"/>
    </row>
    <row r="607">
      <c r="A607" s="15"/>
      <c r="F607" s="9"/>
      <c r="G607" s="9"/>
    </row>
    <row r="608">
      <c r="A608" s="15"/>
      <c r="F608" s="9"/>
      <c r="G608" s="9"/>
    </row>
    <row r="609">
      <c r="A609" s="15"/>
      <c r="F609" s="9"/>
      <c r="G609" s="9"/>
    </row>
    <row r="610">
      <c r="A610" s="15"/>
      <c r="F610" s="9"/>
      <c r="G610" s="9"/>
    </row>
    <row r="611">
      <c r="A611" s="15"/>
      <c r="F611" s="9"/>
      <c r="G611" s="9"/>
    </row>
    <row r="612">
      <c r="A612" s="15"/>
      <c r="F612" s="9"/>
      <c r="G612" s="9"/>
    </row>
    <row r="613">
      <c r="A613" s="15"/>
      <c r="F613" s="9"/>
      <c r="G613" s="9"/>
    </row>
    <row r="614">
      <c r="A614" s="15"/>
      <c r="F614" s="9"/>
      <c r="G614" s="9"/>
    </row>
    <row r="615">
      <c r="A615" s="15"/>
      <c r="F615" s="9"/>
      <c r="G615" s="9"/>
    </row>
    <row r="616">
      <c r="A616" s="15"/>
      <c r="F616" s="9"/>
      <c r="G616" s="9"/>
    </row>
    <row r="617">
      <c r="A617" s="15"/>
      <c r="F617" s="9"/>
      <c r="G617" s="9"/>
    </row>
    <row r="618">
      <c r="A618" s="15"/>
      <c r="F618" s="9"/>
      <c r="G618" s="9"/>
    </row>
    <row r="619">
      <c r="A619" s="15"/>
      <c r="F619" s="9"/>
      <c r="G619" s="9"/>
    </row>
    <row r="620">
      <c r="A620" s="15"/>
      <c r="F620" s="9"/>
      <c r="G620" s="9"/>
    </row>
    <row r="621">
      <c r="A621" s="15"/>
      <c r="F621" s="9"/>
      <c r="G621" s="9"/>
    </row>
    <row r="622">
      <c r="A622" s="15"/>
      <c r="F622" s="9"/>
      <c r="G622" s="9"/>
    </row>
    <row r="623">
      <c r="A623" s="15"/>
      <c r="F623" s="9"/>
      <c r="G623" s="9"/>
    </row>
    <row r="624">
      <c r="A624" s="15"/>
      <c r="F624" s="9"/>
      <c r="G624" s="9"/>
    </row>
    <row r="625">
      <c r="A625" s="15"/>
      <c r="F625" s="9"/>
      <c r="G625" s="9"/>
    </row>
    <row r="626">
      <c r="A626" s="15"/>
      <c r="F626" s="9"/>
      <c r="G626" s="9"/>
    </row>
    <row r="627">
      <c r="A627" s="15"/>
      <c r="F627" s="9"/>
      <c r="G627" s="9"/>
    </row>
    <row r="628">
      <c r="A628" s="15"/>
      <c r="F628" s="9"/>
      <c r="G628" s="9"/>
    </row>
    <row r="629">
      <c r="A629" s="15"/>
      <c r="F629" s="9"/>
      <c r="G629" s="9"/>
    </row>
    <row r="630">
      <c r="A630" s="15"/>
      <c r="F630" s="9"/>
      <c r="G630" s="9"/>
    </row>
    <row r="631">
      <c r="A631" s="15"/>
      <c r="F631" s="9"/>
      <c r="G631" s="9"/>
    </row>
    <row r="632">
      <c r="A632" s="15"/>
      <c r="F632" s="9"/>
      <c r="G632" s="9"/>
    </row>
    <row r="633">
      <c r="A633" s="15"/>
      <c r="F633" s="9"/>
      <c r="G633" s="9"/>
    </row>
    <row r="634">
      <c r="A634" s="15"/>
      <c r="F634" s="9"/>
      <c r="G634" s="9"/>
    </row>
    <row r="635">
      <c r="A635" s="15"/>
      <c r="F635" s="9"/>
      <c r="G635" s="9"/>
    </row>
    <row r="636">
      <c r="A636" s="15"/>
      <c r="F636" s="9"/>
      <c r="G636" s="9"/>
    </row>
    <row r="637">
      <c r="A637" s="15"/>
      <c r="F637" s="9"/>
      <c r="G637" s="9"/>
    </row>
    <row r="638">
      <c r="A638" s="15"/>
      <c r="F638" s="9"/>
      <c r="G638" s="9"/>
    </row>
    <row r="639">
      <c r="A639" s="15"/>
      <c r="F639" s="9"/>
      <c r="G639" s="9"/>
    </row>
    <row r="640">
      <c r="A640" s="15"/>
      <c r="F640" s="9"/>
      <c r="G640" s="9"/>
    </row>
    <row r="641">
      <c r="A641" s="15"/>
      <c r="F641" s="9"/>
      <c r="G641" s="9"/>
    </row>
    <row r="642">
      <c r="A642" s="15"/>
      <c r="F642" s="9"/>
      <c r="G642" s="9"/>
    </row>
    <row r="643">
      <c r="A643" s="15"/>
      <c r="F643" s="9"/>
      <c r="G643" s="9"/>
    </row>
    <row r="644">
      <c r="A644" s="15"/>
      <c r="F644" s="9"/>
      <c r="G644" s="9"/>
    </row>
    <row r="645">
      <c r="A645" s="15"/>
      <c r="F645" s="9"/>
      <c r="G645" s="9"/>
    </row>
    <row r="646">
      <c r="A646" s="15"/>
      <c r="F646" s="9"/>
      <c r="G646" s="9"/>
    </row>
    <row r="647">
      <c r="A647" s="15"/>
      <c r="F647" s="9"/>
      <c r="G647" s="9"/>
    </row>
    <row r="648">
      <c r="A648" s="15"/>
      <c r="F648" s="9"/>
      <c r="G648" s="9"/>
    </row>
    <row r="649">
      <c r="A649" s="15"/>
      <c r="F649" s="9"/>
      <c r="G649" s="9"/>
    </row>
    <row r="650">
      <c r="A650" s="15"/>
      <c r="F650" s="9"/>
      <c r="G650" s="9"/>
    </row>
    <row r="651">
      <c r="A651" s="15"/>
      <c r="F651" s="9"/>
      <c r="G651" s="9"/>
    </row>
    <row r="652">
      <c r="A652" s="15"/>
      <c r="F652" s="9"/>
      <c r="G652" s="9"/>
    </row>
    <row r="653">
      <c r="A653" s="15"/>
      <c r="F653" s="9"/>
      <c r="G653" s="9"/>
    </row>
    <row r="654">
      <c r="A654" s="15"/>
      <c r="F654" s="9"/>
      <c r="G654" s="9"/>
    </row>
    <row r="655">
      <c r="A655" s="15"/>
      <c r="F655" s="9"/>
      <c r="G655" s="9"/>
    </row>
    <row r="656">
      <c r="A656" s="15"/>
      <c r="F656" s="9"/>
      <c r="G656" s="9"/>
    </row>
    <row r="657">
      <c r="A657" s="15"/>
      <c r="F657" s="9"/>
      <c r="G657" s="9"/>
    </row>
    <row r="658">
      <c r="A658" s="15"/>
      <c r="F658" s="9"/>
      <c r="G658" s="9"/>
    </row>
    <row r="659">
      <c r="A659" s="15"/>
      <c r="F659" s="9"/>
      <c r="G659" s="9"/>
    </row>
    <row r="660">
      <c r="A660" s="15"/>
      <c r="F660" s="9"/>
      <c r="G660" s="9"/>
    </row>
    <row r="661">
      <c r="A661" s="15"/>
      <c r="F661" s="9"/>
      <c r="G661" s="9"/>
    </row>
    <row r="662">
      <c r="A662" s="15"/>
      <c r="F662" s="9"/>
      <c r="G662" s="9"/>
    </row>
    <row r="663">
      <c r="A663" s="15"/>
      <c r="F663" s="9"/>
      <c r="G663" s="9"/>
    </row>
    <row r="664">
      <c r="A664" s="15"/>
      <c r="F664" s="9"/>
      <c r="G664" s="9"/>
    </row>
    <row r="665">
      <c r="A665" s="15"/>
      <c r="F665" s="9"/>
      <c r="G665" s="9"/>
    </row>
    <row r="666">
      <c r="A666" s="15"/>
      <c r="F666" s="9"/>
      <c r="G666" s="9"/>
    </row>
    <row r="667">
      <c r="A667" s="15"/>
      <c r="F667" s="9"/>
      <c r="G667" s="9"/>
    </row>
    <row r="668">
      <c r="A668" s="15"/>
      <c r="F668" s="9"/>
      <c r="G668" s="9"/>
    </row>
    <row r="669">
      <c r="A669" s="15"/>
      <c r="F669" s="9"/>
      <c r="G669" s="9"/>
    </row>
    <row r="670">
      <c r="A670" s="15"/>
      <c r="F670" s="9"/>
      <c r="G670" s="9"/>
    </row>
    <row r="671">
      <c r="A671" s="15"/>
      <c r="F671" s="9"/>
      <c r="G671" s="9"/>
    </row>
    <row r="672">
      <c r="A672" s="15"/>
      <c r="F672" s="9"/>
      <c r="G672" s="9"/>
    </row>
    <row r="673">
      <c r="A673" s="15"/>
      <c r="F673" s="9"/>
      <c r="G673" s="9"/>
    </row>
    <row r="674">
      <c r="A674" s="15"/>
      <c r="F674" s="9"/>
      <c r="G674" s="9"/>
    </row>
    <row r="675">
      <c r="A675" s="15"/>
      <c r="F675" s="9"/>
      <c r="G675" s="9"/>
    </row>
    <row r="676">
      <c r="A676" s="15"/>
      <c r="F676" s="9"/>
      <c r="G676" s="9"/>
    </row>
    <row r="677">
      <c r="A677" s="15"/>
      <c r="F677" s="9"/>
      <c r="G677" s="9"/>
    </row>
    <row r="678">
      <c r="A678" s="15"/>
      <c r="F678" s="9"/>
      <c r="G678" s="9"/>
    </row>
    <row r="679">
      <c r="A679" s="15"/>
      <c r="F679" s="9"/>
      <c r="G679" s="9"/>
    </row>
    <row r="680">
      <c r="A680" s="15"/>
      <c r="F680" s="9"/>
      <c r="G680" s="9"/>
    </row>
    <row r="681">
      <c r="A681" s="15"/>
      <c r="F681" s="9"/>
      <c r="G681" s="9"/>
    </row>
    <row r="682">
      <c r="A682" s="15"/>
      <c r="F682" s="9"/>
      <c r="G682" s="9"/>
    </row>
    <row r="683">
      <c r="A683" s="15"/>
      <c r="F683" s="9"/>
      <c r="G683" s="9"/>
    </row>
    <row r="684">
      <c r="A684" s="15"/>
      <c r="F684" s="9"/>
      <c r="G684" s="9"/>
    </row>
    <row r="685">
      <c r="A685" s="15"/>
      <c r="F685" s="9"/>
      <c r="G685" s="9"/>
    </row>
    <row r="686">
      <c r="A686" s="15"/>
      <c r="F686" s="9"/>
      <c r="G686" s="9"/>
    </row>
    <row r="687">
      <c r="A687" s="15"/>
      <c r="F687" s="9"/>
      <c r="G687" s="9"/>
    </row>
    <row r="688">
      <c r="A688" s="15"/>
      <c r="F688" s="9"/>
      <c r="G688" s="9"/>
    </row>
    <row r="689">
      <c r="A689" s="15"/>
      <c r="F689" s="9"/>
      <c r="G689" s="9"/>
    </row>
    <row r="690">
      <c r="A690" s="15"/>
      <c r="F690" s="9"/>
      <c r="G690" s="9"/>
    </row>
    <row r="691">
      <c r="A691" s="15"/>
      <c r="F691" s="9"/>
      <c r="G691" s="9"/>
    </row>
    <row r="692">
      <c r="A692" s="15"/>
      <c r="F692" s="9"/>
      <c r="G692" s="9"/>
    </row>
    <row r="693">
      <c r="A693" s="15"/>
      <c r="F693" s="9"/>
      <c r="G693" s="9"/>
    </row>
    <row r="694">
      <c r="A694" s="15"/>
      <c r="F694" s="9"/>
      <c r="G694" s="9"/>
    </row>
    <row r="695">
      <c r="A695" s="15"/>
      <c r="F695" s="9"/>
      <c r="G695" s="9"/>
    </row>
    <row r="696">
      <c r="A696" s="15"/>
      <c r="F696" s="9"/>
      <c r="G696" s="9"/>
    </row>
    <row r="697">
      <c r="A697" s="15"/>
      <c r="F697" s="9"/>
      <c r="G697" s="9"/>
    </row>
    <row r="698">
      <c r="A698" s="15"/>
      <c r="F698" s="9"/>
      <c r="G698" s="9"/>
    </row>
    <row r="699">
      <c r="A699" s="15"/>
      <c r="F699" s="9"/>
      <c r="G699" s="9"/>
    </row>
    <row r="700">
      <c r="A700" s="15"/>
      <c r="F700" s="9"/>
      <c r="G700" s="9"/>
    </row>
    <row r="701">
      <c r="A701" s="15"/>
      <c r="F701" s="9"/>
      <c r="G701" s="9"/>
    </row>
    <row r="702">
      <c r="A702" s="15"/>
      <c r="F702" s="9"/>
      <c r="G702" s="9"/>
    </row>
    <row r="703">
      <c r="A703" s="15"/>
      <c r="F703" s="9"/>
      <c r="G703" s="9"/>
    </row>
    <row r="704">
      <c r="A704" s="15"/>
      <c r="F704" s="9"/>
      <c r="G704" s="9"/>
    </row>
    <row r="705">
      <c r="A705" s="15"/>
      <c r="F705" s="9"/>
      <c r="G705" s="9"/>
    </row>
    <row r="706">
      <c r="A706" s="15"/>
      <c r="F706" s="9"/>
      <c r="G706" s="9"/>
    </row>
    <row r="707">
      <c r="A707" s="15"/>
      <c r="F707" s="9"/>
      <c r="G707" s="9"/>
    </row>
    <row r="708">
      <c r="A708" s="15"/>
      <c r="F708" s="9"/>
      <c r="G708" s="9"/>
    </row>
    <row r="709">
      <c r="A709" s="15"/>
      <c r="F709" s="9"/>
      <c r="G709" s="9"/>
    </row>
    <row r="710">
      <c r="A710" s="15"/>
      <c r="F710" s="9"/>
      <c r="G710" s="9"/>
    </row>
    <row r="711">
      <c r="A711" s="15"/>
      <c r="F711" s="9"/>
      <c r="G711" s="9"/>
    </row>
    <row r="712">
      <c r="A712" s="15"/>
      <c r="F712" s="9"/>
      <c r="G712" s="9"/>
    </row>
    <row r="713">
      <c r="A713" s="15"/>
      <c r="F713" s="9"/>
      <c r="G713" s="9"/>
    </row>
    <row r="714">
      <c r="A714" s="15"/>
      <c r="F714" s="9"/>
      <c r="G714" s="9"/>
    </row>
    <row r="715">
      <c r="A715" s="15"/>
      <c r="F715" s="9"/>
      <c r="G715" s="9"/>
    </row>
    <row r="716">
      <c r="A716" s="15"/>
      <c r="F716" s="9"/>
      <c r="G716" s="9"/>
    </row>
    <row r="717">
      <c r="A717" s="15"/>
      <c r="F717" s="9"/>
      <c r="G717" s="9"/>
    </row>
    <row r="718">
      <c r="A718" s="15"/>
      <c r="F718" s="9"/>
      <c r="G718" s="9"/>
    </row>
    <row r="719">
      <c r="A719" s="15"/>
      <c r="F719" s="9"/>
      <c r="G719" s="9"/>
    </row>
    <row r="720">
      <c r="A720" s="15"/>
      <c r="F720" s="9"/>
      <c r="G720" s="9"/>
    </row>
    <row r="721">
      <c r="A721" s="15"/>
      <c r="F721" s="9"/>
      <c r="G721" s="9"/>
    </row>
    <row r="722">
      <c r="A722" s="15"/>
      <c r="F722" s="9"/>
      <c r="G722" s="9"/>
    </row>
    <row r="723">
      <c r="A723" s="15"/>
      <c r="F723" s="9"/>
      <c r="G723" s="9"/>
    </row>
    <row r="724">
      <c r="A724" s="15"/>
      <c r="F724" s="9"/>
      <c r="G724" s="9"/>
    </row>
    <row r="725">
      <c r="A725" s="15"/>
      <c r="F725" s="9"/>
      <c r="G725" s="9"/>
    </row>
    <row r="726">
      <c r="A726" s="15"/>
      <c r="F726" s="9"/>
      <c r="G726" s="9"/>
    </row>
    <row r="727">
      <c r="A727" s="15"/>
      <c r="F727" s="9"/>
      <c r="G727" s="9"/>
    </row>
    <row r="728">
      <c r="A728" s="15"/>
      <c r="F728" s="9"/>
      <c r="G728" s="9"/>
    </row>
    <row r="729">
      <c r="A729" s="15"/>
      <c r="F729" s="9"/>
      <c r="G729" s="9"/>
    </row>
    <row r="730">
      <c r="A730" s="15"/>
      <c r="F730" s="9"/>
      <c r="G730" s="9"/>
    </row>
    <row r="731">
      <c r="A731" s="15"/>
      <c r="F731" s="9"/>
      <c r="G731" s="9"/>
    </row>
    <row r="732">
      <c r="A732" s="15"/>
      <c r="F732" s="9"/>
      <c r="G732" s="9"/>
    </row>
    <row r="733">
      <c r="A733" s="15"/>
      <c r="F733" s="9"/>
      <c r="G733" s="9"/>
    </row>
    <row r="734">
      <c r="A734" s="15"/>
      <c r="F734" s="9"/>
      <c r="G734" s="9"/>
    </row>
    <row r="735">
      <c r="A735" s="15"/>
      <c r="F735" s="9"/>
      <c r="G735" s="9"/>
    </row>
    <row r="736">
      <c r="A736" s="15"/>
      <c r="F736" s="9"/>
      <c r="G736" s="9"/>
    </row>
    <row r="737">
      <c r="A737" s="15"/>
      <c r="F737" s="9"/>
      <c r="G737" s="9"/>
    </row>
    <row r="738">
      <c r="A738" s="15"/>
      <c r="F738" s="9"/>
      <c r="G738" s="9"/>
    </row>
    <row r="739">
      <c r="A739" s="15"/>
      <c r="F739" s="9"/>
      <c r="G739" s="9"/>
    </row>
    <row r="740">
      <c r="A740" s="15"/>
      <c r="F740" s="9"/>
      <c r="G740" s="9"/>
    </row>
    <row r="741">
      <c r="A741" s="15"/>
      <c r="F741" s="9"/>
      <c r="G741" s="9"/>
    </row>
    <row r="742">
      <c r="A742" s="15"/>
      <c r="F742" s="9"/>
      <c r="G742" s="9"/>
    </row>
    <row r="743">
      <c r="A743" s="15"/>
      <c r="F743" s="9"/>
      <c r="G743" s="9"/>
    </row>
    <row r="744">
      <c r="A744" s="15"/>
      <c r="F744" s="9"/>
      <c r="G744" s="9"/>
    </row>
    <row r="745">
      <c r="A745" s="15"/>
      <c r="F745" s="9"/>
      <c r="G745" s="9"/>
    </row>
    <row r="746">
      <c r="A746" s="15"/>
      <c r="F746" s="9"/>
      <c r="G746" s="9"/>
    </row>
    <row r="747">
      <c r="A747" s="15"/>
      <c r="F747" s="9"/>
      <c r="G747" s="9"/>
    </row>
    <row r="748">
      <c r="A748" s="15"/>
      <c r="F748" s="9"/>
      <c r="G748" s="9"/>
    </row>
    <row r="749">
      <c r="A749" s="15"/>
      <c r="F749" s="9"/>
      <c r="G749" s="9"/>
    </row>
    <row r="750">
      <c r="A750" s="15"/>
      <c r="F750" s="9"/>
      <c r="G750" s="9"/>
    </row>
    <row r="751">
      <c r="A751" s="15"/>
      <c r="F751" s="9"/>
      <c r="G751" s="9"/>
    </row>
    <row r="752">
      <c r="A752" s="15"/>
      <c r="F752" s="9"/>
      <c r="G752" s="9"/>
    </row>
    <row r="753">
      <c r="A753" s="15"/>
      <c r="F753" s="9"/>
      <c r="G753" s="9"/>
    </row>
    <row r="754">
      <c r="A754" s="15"/>
      <c r="F754" s="9"/>
      <c r="G754" s="9"/>
    </row>
    <row r="755">
      <c r="A755" s="15"/>
      <c r="F755" s="9"/>
      <c r="G755" s="9"/>
    </row>
    <row r="756">
      <c r="A756" s="15"/>
      <c r="F756" s="9"/>
      <c r="G756" s="9"/>
    </row>
    <row r="757">
      <c r="A757" s="15"/>
      <c r="F757" s="9"/>
      <c r="G757" s="9"/>
    </row>
    <row r="758">
      <c r="A758" s="15"/>
      <c r="F758" s="9"/>
      <c r="G758" s="9"/>
    </row>
    <row r="759">
      <c r="A759" s="15"/>
      <c r="F759" s="9"/>
      <c r="G759" s="9"/>
    </row>
    <row r="760">
      <c r="A760" s="15"/>
      <c r="F760" s="9"/>
      <c r="G760" s="9"/>
    </row>
    <row r="761">
      <c r="A761" s="15"/>
      <c r="F761" s="9"/>
      <c r="G761" s="9"/>
    </row>
    <row r="762">
      <c r="A762" s="15"/>
      <c r="F762" s="9"/>
      <c r="G762" s="9"/>
    </row>
    <row r="763">
      <c r="A763" s="15"/>
      <c r="F763" s="9"/>
      <c r="G763" s="9"/>
    </row>
    <row r="764">
      <c r="A764" s="15"/>
      <c r="F764" s="9"/>
      <c r="G764" s="9"/>
    </row>
    <row r="765">
      <c r="A765" s="15"/>
      <c r="F765" s="9"/>
      <c r="G765" s="9"/>
    </row>
    <row r="766">
      <c r="A766" s="15"/>
      <c r="F766" s="9"/>
      <c r="G766" s="9"/>
    </row>
    <row r="767">
      <c r="A767" s="15"/>
      <c r="F767" s="9"/>
      <c r="G767" s="9"/>
    </row>
    <row r="768">
      <c r="A768" s="15"/>
      <c r="F768" s="9"/>
      <c r="G768" s="9"/>
    </row>
    <row r="769">
      <c r="A769" s="15"/>
      <c r="F769" s="9"/>
      <c r="G769" s="9"/>
    </row>
    <row r="770">
      <c r="A770" s="15"/>
      <c r="F770" s="9"/>
      <c r="G770" s="9"/>
    </row>
    <row r="771">
      <c r="A771" s="15"/>
      <c r="F771" s="9"/>
      <c r="G771" s="9"/>
    </row>
    <row r="772">
      <c r="A772" s="15"/>
      <c r="F772" s="9"/>
      <c r="G772" s="9"/>
    </row>
    <row r="773">
      <c r="A773" s="15"/>
      <c r="F773" s="9"/>
      <c r="G773" s="9"/>
    </row>
    <row r="774">
      <c r="A774" s="15"/>
      <c r="F774" s="9"/>
      <c r="G774" s="9"/>
    </row>
    <row r="775">
      <c r="A775" s="15"/>
      <c r="F775" s="9"/>
      <c r="G775" s="9"/>
    </row>
    <row r="776">
      <c r="A776" s="15"/>
      <c r="F776" s="9"/>
      <c r="G776" s="9"/>
    </row>
    <row r="777">
      <c r="A777" s="15"/>
      <c r="F777" s="9"/>
      <c r="G777" s="9"/>
    </row>
    <row r="778">
      <c r="A778" s="15"/>
      <c r="F778" s="9"/>
      <c r="G778" s="9"/>
    </row>
    <row r="779">
      <c r="A779" s="15"/>
      <c r="F779" s="9"/>
      <c r="G779" s="9"/>
    </row>
    <row r="780">
      <c r="A780" s="15"/>
      <c r="F780" s="9"/>
      <c r="G780" s="9"/>
    </row>
    <row r="781">
      <c r="A781" s="15"/>
      <c r="F781" s="9"/>
      <c r="G781" s="9"/>
    </row>
    <row r="782">
      <c r="A782" s="15"/>
      <c r="F782" s="9"/>
      <c r="G782" s="9"/>
    </row>
    <row r="783">
      <c r="A783" s="15"/>
      <c r="F783" s="9"/>
      <c r="G783" s="9"/>
    </row>
    <row r="784">
      <c r="A784" s="15"/>
      <c r="F784" s="9"/>
      <c r="G784" s="9"/>
    </row>
    <row r="785">
      <c r="A785" s="15"/>
      <c r="F785" s="9"/>
      <c r="G785" s="9"/>
    </row>
    <row r="786">
      <c r="A786" s="15"/>
      <c r="F786" s="9"/>
      <c r="G786" s="9"/>
    </row>
    <row r="787">
      <c r="A787" s="15"/>
      <c r="F787" s="9"/>
      <c r="G787" s="9"/>
    </row>
    <row r="788">
      <c r="A788" s="15"/>
      <c r="F788" s="9"/>
      <c r="G788" s="9"/>
    </row>
    <row r="789">
      <c r="A789" s="15"/>
      <c r="F789" s="9"/>
      <c r="G789" s="9"/>
    </row>
    <row r="790">
      <c r="A790" s="15"/>
      <c r="F790" s="9"/>
      <c r="G790" s="9"/>
    </row>
    <row r="791">
      <c r="A791" s="15"/>
      <c r="F791" s="9"/>
      <c r="G791" s="9"/>
    </row>
    <row r="792">
      <c r="A792" s="15"/>
      <c r="F792" s="9"/>
      <c r="G792" s="9"/>
    </row>
    <row r="793">
      <c r="A793" s="15"/>
      <c r="F793" s="9"/>
      <c r="G793" s="9"/>
    </row>
    <row r="794">
      <c r="A794" s="15"/>
      <c r="F794" s="9"/>
      <c r="G794" s="9"/>
    </row>
    <row r="795">
      <c r="A795" s="15"/>
      <c r="F795" s="9"/>
      <c r="G795" s="9"/>
    </row>
    <row r="796">
      <c r="A796" s="15"/>
      <c r="F796" s="9"/>
      <c r="G796" s="9"/>
    </row>
    <row r="797">
      <c r="A797" s="15"/>
      <c r="F797" s="9"/>
      <c r="G797" s="9"/>
    </row>
    <row r="798">
      <c r="A798" s="15"/>
      <c r="F798" s="9"/>
      <c r="G798" s="9"/>
    </row>
    <row r="799">
      <c r="A799" s="15"/>
      <c r="F799" s="9"/>
      <c r="G799" s="9"/>
    </row>
    <row r="800">
      <c r="A800" s="15"/>
      <c r="F800" s="9"/>
      <c r="G800" s="9"/>
    </row>
    <row r="801">
      <c r="A801" s="15"/>
      <c r="F801" s="9"/>
      <c r="G801" s="9"/>
    </row>
    <row r="802">
      <c r="A802" s="15"/>
      <c r="F802" s="9"/>
      <c r="G802" s="9"/>
    </row>
    <row r="803">
      <c r="A803" s="15"/>
      <c r="F803" s="9"/>
      <c r="G803" s="9"/>
    </row>
    <row r="804">
      <c r="A804" s="15"/>
      <c r="F804" s="9"/>
      <c r="G804" s="9"/>
    </row>
    <row r="805">
      <c r="A805" s="15"/>
      <c r="F805" s="9"/>
      <c r="G805" s="9"/>
    </row>
    <row r="806">
      <c r="A806" s="15"/>
      <c r="F806" s="9"/>
      <c r="G806" s="9"/>
    </row>
    <row r="807">
      <c r="A807" s="15"/>
      <c r="F807" s="9"/>
      <c r="G807" s="9"/>
    </row>
    <row r="808">
      <c r="A808" s="15"/>
      <c r="F808" s="9"/>
      <c r="G808" s="9"/>
    </row>
    <row r="809">
      <c r="A809" s="15"/>
      <c r="F809" s="9"/>
      <c r="G809" s="9"/>
    </row>
    <row r="810">
      <c r="A810" s="15"/>
      <c r="F810" s="9"/>
      <c r="G810" s="9"/>
    </row>
    <row r="811">
      <c r="A811" s="15"/>
      <c r="F811" s="9"/>
      <c r="G811" s="9"/>
    </row>
    <row r="812">
      <c r="A812" s="15"/>
      <c r="F812" s="9"/>
      <c r="G812" s="9"/>
    </row>
    <row r="813">
      <c r="A813" s="15"/>
      <c r="F813" s="9"/>
      <c r="G813" s="9"/>
    </row>
    <row r="814">
      <c r="A814" s="15"/>
      <c r="F814" s="9"/>
      <c r="G814" s="9"/>
    </row>
    <row r="815">
      <c r="A815" s="15"/>
      <c r="F815" s="9"/>
      <c r="G815" s="9"/>
    </row>
    <row r="816">
      <c r="A816" s="15"/>
      <c r="F816" s="9"/>
      <c r="G816" s="9"/>
    </row>
    <row r="817">
      <c r="A817" s="15"/>
      <c r="F817" s="9"/>
      <c r="G817" s="9"/>
    </row>
    <row r="818">
      <c r="A818" s="15"/>
      <c r="F818" s="9"/>
      <c r="G818" s="9"/>
    </row>
    <row r="819">
      <c r="A819" s="15"/>
      <c r="F819" s="9"/>
      <c r="G819" s="9"/>
    </row>
    <row r="820">
      <c r="A820" s="15"/>
      <c r="F820" s="9"/>
      <c r="G820" s="9"/>
    </row>
    <row r="821">
      <c r="A821" s="15"/>
      <c r="F821" s="9"/>
      <c r="G821" s="9"/>
    </row>
    <row r="822">
      <c r="A822" s="15"/>
      <c r="F822" s="9"/>
      <c r="G822" s="9"/>
    </row>
    <row r="823">
      <c r="A823" s="15"/>
      <c r="F823" s="9"/>
      <c r="G823" s="9"/>
    </row>
    <row r="824">
      <c r="A824" s="15"/>
      <c r="F824" s="9"/>
      <c r="G824" s="9"/>
    </row>
    <row r="825">
      <c r="A825" s="15"/>
      <c r="F825" s="9"/>
      <c r="G825" s="9"/>
    </row>
    <row r="826">
      <c r="A826" s="15"/>
      <c r="F826" s="9"/>
      <c r="G826" s="9"/>
    </row>
    <row r="827">
      <c r="A827" s="15"/>
      <c r="F827" s="9"/>
      <c r="G827" s="9"/>
    </row>
    <row r="828">
      <c r="A828" s="15"/>
      <c r="F828" s="9"/>
      <c r="G828" s="9"/>
    </row>
    <row r="829">
      <c r="A829" s="15"/>
      <c r="F829" s="9"/>
      <c r="G829" s="9"/>
    </row>
    <row r="830">
      <c r="A830" s="15"/>
      <c r="F830" s="9"/>
      <c r="G830" s="9"/>
    </row>
    <row r="831">
      <c r="A831" s="15"/>
      <c r="F831" s="9"/>
      <c r="G831" s="9"/>
    </row>
    <row r="832">
      <c r="A832" s="15"/>
      <c r="F832" s="9"/>
      <c r="G832" s="9"/>
    </row>
    <row r="833">
      <c r="A833" s="15"/>
      <c r="F833" s="9"/>
      <c r="G833" s="9"/>
    </row>
    <row r="834">
      <c r="A834" s="15"/>
      <c r="F834" s="9"/>
      <c r="G834" s="9"/>
    </row>
    <row r="835">
      <c r="A835" s="15"/>
      <c r="F835" s="9"/>
      <c r="G835" s="9"/>
    </row>
    <row r="836">
      <c r="A836" s="15"/>
      <c r="F836" s="9"/>
      <c r="G836" s="9"/>
    </row>
    <row r="837">
      <c r="A837" s="15"/>
      <c r="F837" s="9"/>
      <c r="G837" s="9"/>
    </row>
    <row r="838">
      <c r="A838" s="15"/>
      <c r="F838" s="9"/>
      <c r="G838" s="9"/>
    </row>
    <row r="839">
      <c r="A839" s="15"/>
      <c r="F839" s="9"/>
      <c r="G839" s="9"/>
    </row>
    <row r="840">
      <c r="A840" s="15"/>
      <c r="F840" s="9"/>
      <c r="G840" s="9"/>
    </row>
    <row r="841">
      <c r="A841" s="15"/>
      <c r="F841" s="9"/>
      <c r="G841" s="9"/>
    </row>
    <row r="842">
      <c r="A842" s="15"/>
      <c r="F842" s="9"/>
      <c r="G842" s="9"/>
    </row>
    <row r="843">
      <c r="A843" s="15"/>
      <c r="F843" s="9"/>
      <c r="G843" s="9"/>
    </row>
    <row r="844">
      <c r="A844" s="15"/>
      <c r="F844" s="9"/>
      <c r="G844" s="9"/>
    </row>
    <row r="845">
      <c r="A845" s="15"/>
      <c r="F845" s="9"/>
      <c r="G845" s="9"/>
    </row>
    <row r="846">
      <c r="A846" s="15"/>
      <c r="F846" s="9"/>
      <c r="G846" s="9"/>
    </row>
    <row r="847">
      <c r="A847" s="15"/>
      <c r="F847" s="9"/>
      <c r="G847" s="9"/>
    </row>
    <row r="848">
      <c r="A848" s="15"/>
      <c r="F848" s="9"/>
      <c r="G848" s="9"/>
    </row>
    <row r="849">
      <c r="A849" s="15"/>
      <c r="F849" s="9"/>
      <c r="G849" s="9"/>
    </row>
    <row r="850">
      <c r="A850" s="15"/>
      <c r="F850" s="9"/>
      <c r="G850" s="9"/>
    </row>
    <row r="851">
      <c r="A851" s="15"/>
      <c r="F851" s="9"/>
      <c r="G851" s="9"/>
    </row>
    <row r="852">
      <c r="A852" s="15"/>
      <c r="F852" s="9"/>
      <c r="G852" s="9"/>
    </row>
    <row r="853">
      <c r="A853" s="15"/>
      <c r="F853" s="9"/>
      <c r="G853" s="9"/>
    </row>
    <row r="854">
      <c r="A854" s="15"/>
      <c r="F854" s="9"/>
      <c r="G854" s="9"/>
    </row>
    <row r="855">
      <c r="A855" s="15"/>
      <c r="F855" s="9"/>
      <c r="G855" s="9"/>
    </row>
    <row r="856">
      <c r="A856" s="15"/>
      <c r="F856" s="9"/>
      <c r="G856" s="9"/>
    </row>
    <row r="857">
      <c r="A857" s="15"/>
      <c r="F857" s="9"/>
      <c r="G857" s="9"/>
    </row>
    <row r="858">
      <c r="A858" s="15"/>
      <c r="F858" s="9"/>
      <c r="G858" s="9"/>
    </row>
    <row r="859">
      <c r="A859" s="15"/>
      <c r="F859" s="9"/>
      <c r="G859" s="9"/>
    </row>
    <row r="860">
      <c r="A860" s="15"/>
      <c r="F860" s="9"/>
      <c r="G860" s="9"/>
    </row>
    <row r="861">
      <c r="A861" s="15"/>
      <c r="F861" s="9"/>
      <c r="G861" s="9"/>
    </row>
    <row r="862">
      <c r="A862" s="15"/>
      <c r="F862" s="9"/>
      <c r="G862" s="9"/>
    </row>
    <row r="863">
      <c r="A863" s="15"/>
      <c r="F863" s="9"/>
      <c r="G863" s="9"/>
    </row>
    <row r="864">
      <c r="A864" s="15"/>
      <c r="F864" s="9"/>
      <c r="G864" s="9"/>
    </row>
    <row r="865">
      <c r="A865" s="15"/>
      <c r="F865" s="9"/>
      <c r="G865" s="9"/>
    </row>
    <row r="866">
      <c r="A866" s="15"/>
      <c r="F866" s="9"/>
      <c r="G866" s="9"/>
    </row>
    <row r="867">
      <c r="A867" s="15"/>
      <c r="F867" s="9"/>
      <c r="G867" s="9"/>
    </row>
    <row r="868">
      <c r="A868" s="15"/>
      <c r="F868" s="9"/>
      <c r="G868" s="9"/>
    </row>
    <row r="869">
      <c r="A869" s="15"/>
      <c r="F869" s="9"/>
      <c r="G869" s="9"/>
    </row>
    <row r="870">
      <c r="A870" s="15"/>
      <c r="F870" s="9"/>
      <c r="G870" s="9"/>
    </row>
    <row r="871">
      <c r="A871" s="15"/>
      <c r="F871" s="9"/>
      <c r="G871" s="9"/>
    </row>
    <row r="872">
      <c r="A872" s="15"/>
      <c r="F872" s="9"/>
      <c r="G872" s="9"/>
    </row>
    <row r="873">
      <c r="A873" s="15"/>
      <c r="F873" s="9"/>
      <c r="G873" s="9"/>
    </row>
    <row r="874">
      <c r="A874" s="15"/>
      <c r="F874" s="9"/>
      <c r="G874" s="9"/>
    </row>
    <row r="875">
      <c r="A875" s="15"/>
      <c r="F875" s="9"/>
      <c r="G875" s="9"/>
    </row>
    <row r="876">
      <c r="A876" s="15"/>
      <c r="F876" s="9"/>
      <c r="G876" s="9"/>
    </row>
    <row r="877">
      <c r="A877" s="15"/>
      <c r="F877" s="9"/>
      <c r="G877" s="9"/>
    </row>
    <row r="878">
      <c r="A878" s="15"/>
      <c r="F878" s="9"/>
      <c r="G878" s="9"/>
    </row>
    <row r="879">
      <c r="A879" s="15"/>
      <c r="F879" s="9"/>
      <c r="G879" s="9"/>
    </row>
    <row r="880">
      <c r="A880" s="15"/>
      <c r="F880" s="9"/>
      <c r="G880" s="9"/>
    </row>
    <row r="881">
      <c r="A881" s="15"/>
      <c r="F881" s="9"/>
      <c r="G881" s="9"/>
    </row>
    <row r="882">
      <c r="A882" s="15"/>
      <c r="F882" s="9"/>
      <c r="G882" s="9"/>
    </row>
    <row r="883">
      <c r="A883" s="15"/>
      <c r="F883" s="9"/>
      <c r="G883" s="9"/>
    </row>
    <row r="884">
      <c r="A884" s="15"/>
      <c r="F884" s="9"/>
      <c r="G884" s="9"/>
    </row>
    <row r="885">
      <c r="A885" s="15"/>
      <c r="F885" s="9"/>
      <c r="G885" s="9"/>
    </row>
    <row r="886">
      <c r="A886" s="15"/>
      <c r="F886" s="9"/>
      <c r="G886" s="9"/>
    </row>
    <row r="887">
      <c r="A887" s="15"/>
      <c r="F887" s="9"/>
      <c r="G887" s="9"/>
    </row>
    <row r="888">
      <c r="A888" s="15"/>
      <c r="F888" s="9"/>
      <c r="G888" s="9"/>
    </row>
    <row r="889">
      <c r="A889" s="15"/>
      <c r="F889" s="9"/>
      <c r="G889" s="9"/>
    </row>
    <row r="890">
      <c r="A890" s="15"/>
      <c r="F890" s="9"/>
      <c r="G890" s="9"/>
    </row>
    <row r="891">
      <c r="A891" s="15"/>
      <c r="F891" s="9"/>
      <c r="G891" s="9"/>
    </row>
    <row r="892">
      <c r="A892" s="15"/>
      <c r="F892" s="9"/>
      <c r="G892" s="9"/>
    </row>
    <row r="893">
      <c r="A893" s="15"/>
      <c r="F893" s="9"/>
      <c r="G893" s="9"/>
    </row>
    <row r="894">
      <c r="A894" s="15"/>
      <c r="F894" s="9"/>
      <c r="G894" s="9"/>
    </row>
    <row r="895">
      <c r="A895" s="15"/>
      <c r="F895" s="9"/>
      <c r="G895" s="9"/>
    </row>
    <row r="896">
      <c r="A896" s="15"/>
      <c r="F896" s="9"/>
      <c r="G896" s="9"/>
    </row>
    <row r="897">
      <c r="A897" s="15"/>
      <c r="F897" s="9"/>
      <c r="G897" s="9"/>
    </row>
    <row r="898">
      <c r="A898" s="15"/>
      <c r="F898" s="9"/>
      <c r="G898" s="9"/>
    </row>
    <row r="899">
      <c r="A899" s="15"/>
      <c r="F899" s="9"/>
      <c r="G899" s="9"/>
    </row>
    <row r="900">
      <c r="A900" s="15"/>
      <c r="F900" s="9"/>
      <c r="G900" s="9"/>
    </row>
    <row r="901">
      <c r="A901" s="15"/>
      <c r="F901" s="9"/>
      <c r="G901" s="9"/>
    </row>
    <row r="902">
      <c r="A902" s="15"/>
      <c r="F902" s="9"/>
      <c r="G902" s="9"/>
    </row>
    <row r="903">
      <c r="A903" s="15"/>
      <c r="F903" s="9"/>
      <c r="G903" s="9"/>
    </row>
    <row r="904">
      <c r="A904" s="15"/>
      <c r="F904" s="9"/>
      <c r="G904" s="9"/>
    </row>
    <row r="905">
      <c r="A905" s="15"/>
      <c r="F905" s="9"/>
      <c r="G905" s="9"/>
    </row>
    <row r="906">
      <c r="A906" s="15"/>
      <c r="F906" s="9"/>
      <c r="G906" s="9"/>
    </row>
    <row r="907">
      <c r="A907" s="15"/>
      <c r="F907" s="9"/>
      <c r="G907" s="9"/>
    </row>
    <row r="908">
      <c r="A908" s="15"/>
      <c r="F908" s="9"/>
      <c r="G908" s="9"/>
    </row>
    <row r="909">
      <c r="A909" s="15"/>
      <c r="F909" s="9"/>
      <c r="G909" s="9"/>
    </row>
    <row r="910">
      <c r="A910" s="15"/>
      <c r="F910" s="9"/>
      <c r="G910" s="9"/>
    </row>
    <row r="911">
      <c r="A911" s="15"/>
      <c r="F911" s="9"/>
      <c r="G911" s="9"/>
    </row>
    <row r="912">
      <c r="A912" s="15"/>
      <c r="F912" s="9"/>
      <c r="G912" s="9"/>
    </row>
    <row r="913">
      <c r="A913" s="15"/>
      <c r="F913" s="9"/>
      <c r="G913" s="9"/>
    </row>
    <row r="914">
      <c r="A914" s="15"/>
      <c r="F914" s="9"/>
      <c r="G914" s="9"/>
    </row>
    <row r="915">
      <c r="A915" s="15"/>
      <c r="F915" s="9"/>
      <c r="G915" s="9"/>
    </row>
    <row r="916">
      <c r="A916" s="15"/>
      <c r="F916" s="9"/>
      <c r="G916" s="9"/>
    </row>
    <row r="917">
      <c r="A917" s="15"/>
      <c r="F917" s="9"/>
      <c r="G917" s="9"/>
    </row>
    <row r="918">
      <c r="A918" s="15"/>
      <c r="F918" s="9"/>
      <c r="G918" s="9"/>
    </row>
    <row r="919">
      <c r="A919" s="15"/>
      <c r="F919" s="9"/>
      <c r="G919" s="9"/>
    </row>
    <row r="920">
      <c r="A920" s="15"/>
      <c r="F920" s="9"/>
      <c r="G920" s="9"/>
    </row>
    <row r="921">
      <c r="A921" s="15"/>
      <c r="F921" s="9"/>
      <c r="G921" s="9"/>
    </row>
    <row r="922">
      <c r="A922" s="15"/>
      <c r="F922" s="9"/>
      <c r="G922" s="9"/>
    </row>
    <row r="923">
      <c r="A923" s="15"/>
      <c r="F923" s="9"/>
      <c r="G923" s="9"/>
    </row>
    <row r="924">
      <c r="A924" s="15"/>
      <c r="F924" s="9"/>
      <c r="G924" s="9"/>
    </row>
    <row r="925">
      <c r="A925" s="15"/>
      <c r="F925" s="9"/>
      <c r="G925" s="9"/>
    </row>
    <row r="926">
      <c r="A926" s="15"/>
      <c r="F926" s="9"/>
      <c r="G926" s="9"/>
    </row>
    <row r="927">
      <c r="A927" s="15"/>
      <c r="F927" s="9"/>
      <c r="G927" s="9"/>
    </row>
    <row r="928">
      <c r="A928" s="15"/>
      <c r="F928" s="9"/>
      <c r="G928" s="9"/>
    </row>
    <row r="929">
      <c r="A929" s="15"/>
      <c r="F929" s="9"/>
      <c r="G929" s="9"/>
    </row>
    <row r="930">
      <c r="A930" s="15"/>
      <c r="F930" s="9"/>
      <c r="G930" s="9"/>
    </row>
    <row r="931">
      <c r="A931" s="15"/>
      <c r="F931" s="9"/>
      <c r="G931" s="9"/>
    </row>
    <row r="932">
      <c r="A932" s="15"/>
      <c r="F932" s="9"/>
      <c r="G932" s="9"/>
    </row>
    <row r="933">
      <c r="A933" s="15"/>
      <c r="F933" s="9"/>
      <c r="G933" s="9"/>
    </row>
    <row r="934">
      <c r="A934" s="15"/>
      <c r="F934" s="9"/>
      <c r="G934" s="9"/>
    </row>
    <row r="935">
      <c r="A935" s="15"/>
      <c r="F935" s="9"/>
      <c r="G935" s="9"/>
    </row>
    <row r="936">
      <c r="A936" s="15"/>
      <c r="F936" s="9"/>
      <c r="G936" s="9"/>
    </row>
    <row r="937">
      <c r="A937" s="15"/>
      <c r="F937" s="9"/>
      <c r="G937" s="9"/>
    </row>
    <row r="938">
      <c r="A938" s="15"/>
      <c r="F938" s="9"/>
      <c r="G938" s="9"/>
    </row>
    <row r="939">
      <c r="A939" s="15"/>
      <c r="F939" s="9"/>
      <c r="G939" s="9"/>
    </row>
    <row r="940">
      <c r="A940" s="15"/>
      <c r="F940" s="9"/>
      <c r="G940" s="9"/>
    </row>
    <row r="941">
      <c r="A941" s="15"/>
      <c r="F941" s="9"/>
      <c r="G941" s="9"/>
    </row>
    <row r="942">
      <c r="A942" s="15"/>
      <c r="F942" s="9"/>
      <c r="G942" s="9"/>
    </row>
    <row r="943">
      <c r="A943" s="15"/>
      <c r="F943" s="9"/>
      <c r="G943" s="9"/>
    </row>
    <row r="944">
      <c r="A944" s="15"/>
      <c r="F944" s="9"/>
      <c r="G944" s="9"/>
    </row>
    <row r="945">
      <c r="A945" s="15"/>
      <c r="F945" s="9"/>
      <c r="G945" s="9"/>
    </row>
    <row r="946">
      <c r="A946" s="15"/>
      <c r="F946" s="9"/>
      <c r="G946" s="9"/>
    </row>
    <row r="947">
      <c r="A947" s="15"/>
      <c r="F947" s="9"/>
      <c r="G947" s="9"/>
    </row>
    <row r="948">
      <c r="A948" s="15"/>
      <c r="F948" s="9"/>
      <c r="G948" s="9"/>
    </row>
    <row r="949">
      <c r="A949" s="15"/>
      <c r="F949" s="9"/>
      <c r="G949" s="9"/>
    </row>
    <row r="950">
      <c r="A950" s="15"/>
      <c r="F950" s="9"/>
      <c r="G950" s="9"/>
    </row>
    <row r="951">
      <c r="A951" s="15"/>
      <c r="F951" s="9"/>
      <c r="G951" s="9"/>
    </row>
    <row r="952">
      <c r="A952" s="15"/>
      <c r="F952" s="9"/>
      <c r="G952" s="9"/>
    </row>
    <row r="953">
      <c r="A953" s="15"/>
      <c r="F953" s="9"/>
      <c r="G953" s="9"/>
    </row>
    <row r="954">
      <c r="A954" s="15"/>
      <c r="F954" s="9"/>
      <c r="G954" s="9"/>
    </row>
    <row r="955">
      <c r="A955" s="15"/>
      <c r="F955" s="9"/>
      <c r="G955" s="9"/>
    </row>
    <row r="956">
      <c r="A956" s="15"/>
      <c r="F956" s="9"/>
      <c r="G956" s="9"/>
    </row>
    <row r="957">
      <c r="A957" s="15"/>
      <c r="F957" s="9"/>
      <c r="G957" s="9"/>
    </row>
    <row r="958">
      <c r="A958" s="15"/>
      <c r="F958" s="9"/>
      <c r="G958" s="9"/>
    </row>
    <row r="959">
      <c r="A959" s="15"/>
      <c r="F959" s="9"/>
      <c r="G959" s="9"/>
    </row>
    <row r="960">
      <c r="A960" s="15"/>
      <c r="F960" s="9"/>
      <c r="G960" s="9"/>
    </row>
    <row r="961">
      <c r="A961" s="15"/>
      <c r="F961" s="9"/>
      <c r="G961" s="9"/>
    </row>
    <row r="962">
      <c r="A962" s="15"/>
      <c r="F962" s="9"/>
      <c r="G962" s="9"/>
    </row>
    <row r="963">
      <c r="A963" s="15"/>
      <c r="F963" s="9"/>
      <c r="G963" s="9"/>
    </row>
    <row r="964">
      <c r="A964" s="15"/>
      <c r="F964" s="9"/>
      <c r="G964" s="9"/>
    </row>
    <row r="965">
      <c r="A965" s="15"/>
      <c r="F965" s="9"/>
      <c r="G965" s="9"/>
    </row>
    <row r="966">
      <c r="A966" s="15"/>
      <c r="F966" s="9"/>
      <c r="G966" s="9"/>
    </row>
    <row r="967">
      <c r="A967" s="15"/>
      <c r="F967" s="9"/>
      <c r="G967" s="9"/>
    </row>
    <row r="968">
      <c r="A968" s="15"/>
      <c r="F968" s="9"/>
      <c r="G968" s="9"/>
    </row>
    <row r="969">
      <c r="A969" s="15"/>
      <c r="F969" s="9"/>
      <c r="G969" s="9"/>
    </row>
    <row r="970">
      <c r="A970" s="15"/>
      <c r="F970" s="9"/>
      <c r="G970" s="9"/>
    </row>
    <row r="971">
      <c r="A971" s="15"/>
      <c r="F971" s="9"/>
      <c r="G971" s="9"/>
    </row>
    <row r="972">
      <c r="A972" s="15"/>
      <c r="F972" s="9"/>
      <c r="G972" s="9"/>
    </row>
    <row r="973">
      <c r="A973" s="15"/>
      <c r="F973" s="9"/>
      <c r="G973" s="9"/>
    </row>
    <row r="974">
      <c r="A974" s="15"/>
      <c r="F974" s="9"/>
      <c r="G974" s="9"/>
    </row>
    <row r="975">
      <c r="A975" s="15"/>
      <c r="F975" s="9"/>
      <c r="G975" s="9"/>
    </row>
    <row r="976">
      <c r="A976" s="15"/>
      <c r="F976" s="9"/>
      <c r="G976" s="9"/>
    </row>
    <row r="977">
      <c r="A977" s="15"/>
      <c r="F977" s="9"/>
      <c r="G977" s="9"/>
    </row>
    <row r="978">
      <c r="A978" s="15"/>
      <c r="F978" s="9"/>
      <c r="G978" s="9"/>
    </row>
    <row r="979">
      <c r="A979" s="15"/>
      <c r="F979" s="9"/>
      <c r="G979" s="9"/>
    </row>
    <row r="980">
      <c r="A980" s="15"/>
      <c r="F980" s="9"/>
      <c r="G980" s="9"/>
    </row>
    <row r="981">
      <c r="A981" s="15"/>
      <c r="F981" s="9"/>
      <c r="G981" s="9"/>
    </row>
    <row r="982">
      <c r="A982" s="15"/>
      <c r="F982" s="9"/>
      <c r="G982" s="9"/>
    </row>
    <row r="983">
      <c r="A983" s="15"/>
      <c r="F983" s="9"/>
      <c r="G983" s="9"/>
    </row>
    <row r="984">
      <c r="A984" s="15"/>
      <c r="F984" s="9"/>
      <c r="G984" s="9"/>
    </row>
    <row r="985">
      <c r="A985" s="15"/>
      <c r="F985" s="9"/>
      <c r="G985" s="9"/>
    </row>
    <row r="986">
      <c r="A986" s="15"/>
      <c r="F986" s="9"/>
      <c r="G986" s="9"/>
    </row>
    <row r="987">
      <c r="A987" s="15"/>
      <c r="F987" s="9"/>
      <c r="G987" s="9"/>
    </row>
    <row r="988">
      <c r="A988" s="15"/>
      <c r="F988" s="9"/>
      <c r="G988" s="9"/>
    </row>
    <row r="989">
      <c r="A989" s="15"/>
      <c r="F989" s="9"/>
      <c r="G989" s="9"/>
    </row>
    <row r="990">
      <c r="A990" s="15"/>
      <c r="F990" s="9"/>
      <c r="G990" s="9"/>
    </row>
    <row r="991">
      <c r="A991" s="15"/>
      <c r="F991" s="9"/>
      <c r="G991" s="9"/>
    </row>
    <row r="992">
      <c r="A992" s="15"/>
      <c r="F992" s="9"/>
      <c r="G992" s="9"/>
    </row>
    <row r="993">
      <c r="A993" s="15"/>
      <c r="F993" s="9"/>
      <c r="G993" s="9"/>
    </row>
    <row r="994">
      <c r="A994" s="15"/>
      <c r="F994" s="9"/>
      <c r="G994" s="9"/>
    </row>
    <row r="995">
      <c r="A995" s="15"/>
      <c r="F995" s="9"/>
      <c r="G995" s="9"/>
    </row>
    <row r="996">
      <c r="A996" s="15"/>
      <c r="F996" s="9"/>
      <c r="G996" s="9"/>
    </row>
    <row r="997">
      <c r="A997" s="15"/>
      <c r="F997" s="9"/>
      <c r="G997" s="9"/>
    </row>
    <row r="998">
      <c r="A998" s="15"/>
      <c r="F998" s="9"/>
      <c r="G998" s="9"/>
    </row>
    <row r="999">
      <c r="A999" s="15"/>
      <c r="F999" s="9"/>
      <c r="G999" s="9"/>
    </row>
    <row r="1000">
      <c r="A1000" s="15"/>
      <c r="F1000" s="9"/>
      <c r="G1000" s="9"/>
    </row>
    <row r="1001">
      <c r="A1001" s="15"/>
      <c r="F1001" s="9"/>
      <c r="G1001" s="9"/>
    </row>
    <row r="1002">
      <c r="A1002" s="15"/>
      <c r="F1002" s="9"/>
      <c r="G1002" s="9"/>
    </row>
    <row r="1003">
      <c r="A1003" s="15"/>
      <c r="F1003" s="9"/>
      <c r="G1003" s="9"/>
    </row>
    <row r="1004">
      <c r="A1004" s="15"/>
      <c r="F1004" s="9"/>
      <c r="G1004" s="9"/>
    </row>
    <row r="1005">
      <c r="A1005" s="15"/>
      <c r="F1005" s="9"/>
      <c r="G1005" s="9"/>
    </row>
    <row r="1006">
      <c r="A1006" s="15"/>
      <c r="F1006" s="9"/>
      <c r="G1006" s="9"/>
    </row>
    <row r="1007">
      <c r="A1007" s="15"/>
      <c r="F1007" s="9"/>
      <c r="G1007" s="9"/>
    </row>
    <row r="1008">
      <c r="A1008" s="15"/>
      <c r="F1008" s="9"/>
      <c r="G1008" s="9"/>
    </row>
    <row r="1009">
      <c r="A1009" s="15"/>
      <c r="F1009" s="9"/>
      <c r="G1009" s="9"/>
    </row>
    <row r="1010">
      <c r="A1010" s="15"/>
      <c r="F1010" s="9"/>
      <c r="G1010" s="9"/>
    </row>
    <row r="1011">
      <c r="A1011" s="15"/>
      <c r="F1011" s="9"/>
      <c r="G1011" s="9"/>
    </row>
    <row r="1012">
      <c r="A1012" s="15"/>
      <c r="F1012" s="9"/>
      <c r="G1012" s="9"/>
    </row>
    <row r="1013">
      <c r="A1013" s="15"/>
      <c r="F1013" s="9"/>
      <c r="G1013" s="9"/>
    </row>
    <row r="1014">
      <c r="A1014" s="15"/>
      <c r="F1014" s="9"/>
      <c r="G1014" s="9"/>
    </row>
    <row r="1015">
      <c r="A1015" s="15"/>
      <c r="F1015" s="9"/>
      <c r="G1015" s="9"/>
    </row>
    <row r="1016">
      <c r="A1016" s="15"/>
      <c r="F1016" s="9"/>
      <c r="G1016" s="9"/>
    </row>
    <row r="1017">
      <c r="A1017" s="15"/>
      <c r="F1017" s="9"/>
      <c r="G1017" s="9"/>
    </row>
    <row r="1018">
      <c r="A1018" s="15"/>
      <c r="F1018" s="9"/>
      <c r="G1018" s="9"/>
    </row>
    <row r="1019">
      <c r="A1019" s="15"/>
      <c r="F1019" s="9"/>
      <c r="G1019" s="9"/>
    </row>
  </sheetData>
  <mergeCells count="13">
    <mergeCell ref="A57:I57"/>
    <mergeCell ref="A62:I62"/>
    <mergeCell ref="A66:I66"/>
    <mergeCell ref="A68:I68"/>
    <mergeCell ref="A73:I73"/>
    <mergeCell ref="A84:G84"/>
    <mergeCell ref="A1:I1"/>
    <mergeCell ref="A12:I12"/>
    <mergeCell ref="A22:I22"/>
    <mergeCell ref="A30:I30"/>
    <mergeCell ref="A41:I41"/>
    <mergeCell ref="A47:I47"/>
    <mergeCell ref="A51:I5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91</v>
      </c>
    </row>
    <row r="2">
      <c r="A2" s="4" t="s">
        <v>92</v>
      </c>
      <c r="E2" s="8" t="s">
        <v>93</v>
      </c>
      <c r="F2" s="6" t="s">
        <v>94</v>
      </c>
      <c r="G2" s="6">
        <v>45000.0</v>
      </c>
      <c r="H2" s="7">
        <f>G2</f>
        <v>45000</v>
      </c>
    </row>
    <row r="3">
      <c r="A3" s="4" t="s">
        <v>95</v>
      </c>
      <c r="E3" s="8" t="s">
        <v>78</v>
      </c>
      <c r="F3" s="6">
        <v>6.0</v>
      </c>
      <c r="G3" s="6">
        <v>15000.0</v>
      </c>
      <c r="H3" s="7">
        <f>F3*G3</f>
        <v>90000</v>
      </c>
    </row>
    <row r="4">
      <c r="A4" s="4" t="s">
        <v>96</v>
      </c>
      <c r="E4" s="8" t="s">
        <v>13</v>
      </c>
      <c r="F4" s="6" t="s">
        <v>97</v>
      </c>
      <c r="G4" s="6">
        <v>105000.0</v>
      </c>
      <c r="H4" s="7">
        <f>G4</f>
        <v>105000</v>
      </c>
    </row>
    <row r="5">
      <c r="A5" s="4" t="s">
        <v>98</v>
      </c>
      <c r="E5" s="8" t="s">
        <v>78</v>
      </c>
      <c r="F5" s="6">
        <v>2.0</v>
      </c>
      <c r="G5" s="6">
        <v>13500.0</v>
      </c>
      <c r="H5" s="7">
        <f t="shared" ref="H5:H11" si="1">F5*G5</f>
        <v>27000</v>
      </c>
    </row>
    <row r="6">
      <c r="A6" s="4" t="s">
        <v>99</v>
      </c>
      <c r="E6" s="8" t="s">
        <v>78</v>
      </c>
      <c r="F6" s="6">
        <v>1.0</v>
      </c>
      <c r="G6" s="6">
        <v>10500.0</v>
      </c>
      <c r="H6" s="7">
        <f t="shared" si="1"/>
        <v>10500</v>
      </c>
    </row>
    <row r="7">
      <c r="A7" s="4" t="s">
        <v>100</v>
      </c>
      <c r="E7" s="8" t="s">
        <v>78</v>
      </c>
      <c r="F7" s="6">
        <v>2.0</v>
      </c>
      <c r="G7" s="6">
        <v>9500.0</v>
      </c>
      <c r="H7" s="7">
        <f t="shared" si="1"/>
        <v>19000</v>
      </c>
    </row>
    <row r="8">
      <c r="A8" s="4" t="s">
        <v>101</v>
      </c>
      <c r="E8" s="8" t="s">
        <v>78</v>
      </c>
      <c r="F8" s="6">
        <v>1.0</v>
      </c>
      <c r="G8" s="6">
        <v>12500.0</v>
      </c>
      <c r="H8" s="7">
        <f t="shared" si="1"/>
        <v>12500</v>
      </c>
    </row>
    <row r="9">
      <c r="A9" s="4" t="s">
        <v>102</v>
      </c>
      <c r="E9" s="8" t="s">
        <v>78</v>
      </c>
      <c r="F9" s="6">
        <v>1.0</v>
      </c>
      <c r="G9" s="6">
        <v>35000.0</v>
      </c>
      <c r="H9" s="7">
        <f t="shared" si="1"/>
        <v>35000</v>
      </c>
    </row>
    <row r="10">
      <c r="A10" s="4" t="s">
        <v>103</v>
      </c>
      <c r="E10" s="8" t="s">
        <v>78</v>
      </c>
      <c r="F10" s="6">
        <v>3.0</v>
      </c>
      <c r="G10" s="6">
        <v>18500.0</v>
      </c>
      <c r="H10" s="7">
        <f t="shared" si="1"/>
        <v>55500</v>
      </c>
    </row>
    <row r="11">
      <c r="A11" s="4" t="s">
        <v>104</v>
      </c>
      <c r="E11" s="8" t="s">
        <v>78</v>
      </c>
      <c r="F11" s="6">
        <v>3.0</v>
      </c>
      <c r="G11" s="6">
        <v>8500.0</v>
      </c>
      <c r="H11" s="7">
        <f t="shared" si="1"/>
        <v>25500</v>
      </c>
    </row>
    <row r="13">
      <c r="A13" s="6" t="s">
        <v>105</v>
      </c>
      <c r="H13" s="7">
        <f>sum(H2:H11)</f>
        <v>425000</v>
      </c>
    </row>
  </sheetData>
  <mergeCells count="2">
    <mergeCell ref="A1:I1"/>
    <mergeCell ref="A13:G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88"/>
    <col customWidth="1" min="2" max="2" width="31.5"/>
    <col customWidth="1" min="3" max="3" width="9.88"/>
    <col customWidth="1" min="4" max="4" width="5.88"/>
    <col customWidth="1" min="5" max="5" width="10.75"/>
    <col customWidth="1" min="6" max="6" width="11.5"/>
    <col customWidth="1" min="7" max="7" width="10.13"/>
    <col customWidth="1" min="8" max="8" width="9.13"/>
    <col customWidth="1" min="9" max="9" width="10.13"/>
    <col customWidth="1" min="10" max="10" width="33.75"/>
    <col customWidth="1" min="11" max="11" width="11.88"/>
    <col customWidth="1" min="12" max="12" width="35.63"/>
  </cols>
  <sheetData>
    <row r="1" ht="15.75" customHeight="1">
      <c r="B1" s="22" t="s">
        <v>0</v>
      </c>
      <c r="C1" s="23"/>
      <c r="D1" s="23"/>
      <c r="E1" s="23"/>
      <c r="F1" s="23"/>
      <c r="G1" s="23"/>
      <c r="H1" s="23"/>
      <c r="I1" s="23"/>
      <c r="J1" s="23"/>
      <c r="K1" s="24"/>
    </row>
    <row r="2">
      <c r="B2" s="25" t="s">
        <v>1</v>
      </c>
      <c r="C2" s="26" t="s">
        <v>2</v>
      </c>
      <c r="D2" s="26" t="s">
        <v>3</v>
      </c>
      <c r="E2" s="26" t="s">
        <v>4</v>
      </c>
      <c r="F2" s="26" t="s">
        <v>5</v>
      </c>
      <c r="G2" s="26" t="s">
        <v>6</v>
      </c>
      <c r="H2" s="26" t="s">
        <v>7</v>
      </c>
      <c r="I2" s="26" t="s">
        <v>8</v>
      </c>
      <c r="J2" s="26" t="s">
        <v>9</v>
      </c>
      <c r="K2" s="27" t="s">
        <v>106</v>
      </c>
    </row>
    <row r="3" ht="15.75" customHeight="1">
      <c r="B3" s="28" t="s">
        <v>10</v>
      </c>
      <c r="F3" s="29" t="s">
        <v>11</v>
      </c>
      <c r="G3" s="30">
        <v>106.0</v>
      </c>
      <c r="H3" s="30">
        <v>450.0</v>
      </c>
      <c r="I3" s="31">
        <f>G3*H3</f>
        <v>47700</v>
      </c>
      <c r="J3" s="32" t="s">
        <v>107</v>
      </c>
      <c r="K3" s="33">
        <f>G3*350</f>
        <v>37100</v>
      </c>
      <c r="L3" s="8" t="s">
        <v>108</v>
      </c>
    </row>
    <row r="4" ht="15.75" customHeight="1">
      <c r="B4" s="34"/>
      <c r="F4" s="31"/>
      <c r="G4" s="30"/>
      <c r="H4" s="30"/>
      <c r="I4" s="35"/>
      <c r="K4" s="33">
        <v>15000.0</v>
      </c>
    </row>
    <row r="5" ht="15.75" customHeight="1">
      <c r="B5" s="28" t="s">
        <v>15</v>
      </c>
      <c r="F5" s="31" t="s">
        <v>13</v>
      </c>
      <c r="G5" s="30" t="s">
        <v>16</v>
      </c>
      <c r="H5" s="30"/>
      <c r="I5" s="31" t="s">
        <v>17</v>
      </c>
      <c r="K5" s="33"/>
    </row>
    <row r="6" ht="15.75" customHeight="1">
      <c r="B6" s="28" t="s">
        <v>18</v>
      </c>
      <c r="F6" s="31" t="s">
        <v>19</v>
      </c>
      <c r="G6" s="30">
        <v>4.0</v>
      </c>
      <c r="H6" s="30">
        <v>9500.0</v>
      </c>
      <c r="I6" s="31">
        <f t="shared" ref="I6:I8" si="1">H6*G6</f>
        <v>38000</v>
      </c>
      <c r="K6" s="33">
        <f>G6*7500</f>
        <v>30000</v>
      </c>
    </row>
    <row r="7" ht="15.75" customHeight="1">
      <c r="B7" s="28" t="s">
        <v>20</v>
      </c>
      <c r="F7" s="31" t="s">
        <v>21</v>
      </c>
      <c r="G7" s="30">
        <v>30.0</v>
      </c>
      <c r="H7" s="30">
        <v>550.0</v>
      </c>
      <c r="I7" s="31">
        <f t="shared" si="1"/>
        <v>16500</v>
      </c>
      <c r="K7" s="33">
        <f>G7*450</f>
        <v>13500</v>
      </c>
    </row>
    <row r="8" ht="15.75" customHeight="1">
      <c r="B8" s="28" t="s">
        <v>22</v>
      </c>
      <c r="E8" s="31" t="s">
        <v>17</v>
      </c>
      <c r="F8" s="31" t="s">
        <v>21</v>
      </c>
      <c r="G8" s="30">
        <v>123.0</v>
      </c>
      <c r="H8" s="30">
        <v>350.0</v>
      </c>
      <c r="I8" s="31">
        <f t="shared" si="1"/>
        <v>43050</v>
      </c>
      <c r="J8" s="36" t="s">
        <v>109</v>
      </c>
      <c r="K8" s="33">
        <f>G8*350</f>
        <v>43050</v>
      </c>
      <c r="L8" s="8" t="s">
        <v>110</v>
      </c>
      <c r="M8" s="8">
        <v>18500.0</v>
      </c>
      <c r="N8" s="7">
        <f>K8-M8</f>
        <v>24550</v>
      </c>
    </row>
    <row r="9" ht="20.25" customHeight="1">
      <c r="B9" s="37" t="s">
        <v>23</v>
      </c>
      <c r="E9" s="31" t="s">
        <v>17</v>
      </c>
      <c r="F9" s="31" t="s">
        <v>21</v>
      </c>
      <c r="G9" s="30">
        <v>1.0</v>
      </c>
      <c r="H9" s="30">
        <v>18500.0</v>
      </c>
      <c r="I9" s="38">
        <v>0.0</v>
      </c>
      <c r="J9" s="39" t="s">
        <v>111</v>
      </c>
      <c r="K9" s="40">
        <v>12000.0</v>
      </c>
      <c r="L9" s="8" t="s">
        <v>112</v>
      </c>
    </row>
    <row r="10" ht="15.75" customHeight="1">
      <c r="B10" s="41" t="s">
        <v>113</v>
      </c>
      <c r="I10" s="42">
        <f>SUM(I3:I9)</f>
        <v>145250</v>
      </c>
      <c r="K10" s="43">
        <f>SUM(K3:K9)</f>
        <v>150650</v>
      </c>
    </row>
    <row r="11" ht="15.75" customHeight="1">
      <c r="B11" s="22" t="s">
        <v>25</v>
      </c>
      <c r="C11" s="23"/>
      <c r="D11" s="23"/>
      <c r="E11" s="23"/>
      <c r="F11" s="23"/>
      <c r="G11" s="23"/>
      <c r="H11" s="23"/>
      <c r="I11" s="23"/>
      <c r="J11" s="23"/>
      <c r="K11" s="24"/>
    </row>
    <row r="12" ht="15.75" customHeight="1">
      <c r="B12" s="34" t="s">
        <v>114</v>
      </c>
      <c r="F12" s="31" t="s">
        <v>11</v>
      </c>
      <c r="G12" s="30">
        <v>32.0</v>
      </c>
      <c r="H12" s="30">
        <v>1850.0</v>
      </c>
      <c r="I12" s="31">
        <f t="shared" ref="I12:I18" si="2">H12*G12</f>
        <v>59200</v>
      </c>
      <c r="J12" s="32" t="s">
        <v>115</v>
      </c>
      <c r="K12" s="33">
        <f>G12*1650</f>
        <v>52800</v>
      </c>
    </row>
    <row r="13" ht="15.75" customHeight="1">
      <c r="B13" s="34" t="s">
        <v>27</v>
      </c>
      <c r="F13" s="31" t="s">
        <v>11</v>
      </c>
      <c r="G13" s="30">
        <v>41.0</v>
      </c>
      <c r="H13" s="30">
        <v>1650.0</v>
      </c>
      <c r="I13" s="31">
        <f t="shared" si="2"/>
        <v>67650</v>
      </c>
      <c r="J13" s="44" t="s">
        <v>116</v>
      </c>
      <c r="K13" s="45">
        <f t="shared" ref="K13:K14" si="3">G13*1400</f>
        <v>57400</v>
      </c>
    </row>
    <row r="14" ht="15.75" customHeight="1">
      <c r="B14" s="34" t="s">
        <v>28</v>
      </c>
      <c r="F14" s="31" t="s">
        <v>11</v>
      </c>
      <c r="G14" s="30">
        <v>26.0</v>
      </c>
      <c r="H14" s="30">
        <v>1650.0</v>
      </c>
      <c r="I14" s="31">
        <f t="shared" si="2"/>
        <v>42900</v>
      </c>
      <c r="K14" s="45">
        <f t="shared" si="3"/>
        <v>36400</v>
      </c>
    </row>
    <row r="15" ht="15.75" customHeight="1">
      <c r="B15" s="34" t="s">
        <v>29</v>
      </c>
      <c r="F15" s="31" t="s">
        <v>11</v>
      </c>
      <c r="G15" s="30">
        <v>9.0</v>
      </c>
      <c r="H15" s="30">
        <v>1650.0</v>
      </c>
      <c r="I15" s="31">
        <f t="shared" si="2"/>
        <v>14850</v>
      </c>
      <c r="J15" s="46"/>
      <c r="K15" s="45">
        <f>G15*1500</f>
        <v>13500</v>
      </c>
    </row>
    <row r="16" ht="31.5" customHeight="1">
      <c r="B16" s="34" t="s">
        <v>30</v>
      </c>
      <c r="F16" s="31" t="s">
        <v>11</v>
      </c>
      <c r="G16" s="30">
        <v>12.0</v>
      </c>
      <c r="H16" s="30">
        <v>1650.0</v>
      </c>
      <c r="I16" s="31">
        <f t="shared" si="2"/>
        <v>19800</v>
      </c>
      <c r="J16" s="46" t="s">
        <v>117</v>
      </c>
      <c r="K16" s="45">
        <f>G16*1450</f>
        <v>17400</v>
      </c>
    </row>
    <row r="17" ht="15.75" customHeight="1">
      <c r="B17" s="34" t="s">
        <v>31</v>
      </c>
      <c r="F17" s="31" t="s">
        <v>32</v>
      </c>
      <c r="G17" s="30">
        <v>5.0</v>
      </c>
      <c r="H17" s="30">
        <v>9500.0</v>
      </c>
      <c r="I17" s="31">
        <f t="shared" si="2"/>
        <v>47500</v>
      </c>
      <c r="J17" s="46" t="s">
        <v>118</v>
      </c>
      <c r="K17" s="45">
        <f>G17*8500</f>
        <v>42500</v>
      </c>
    </row>
    <row r="18" ht="15.75" customHeight="1">
      <c r="B18" s="34" t="s">
        <v>33</v>
      </c>
      <c r="F18" s="31" t="s">
        <v>21</v>
      </c>
      <c r="G18" s="30">
        <v>74.0</v>
      </c>
      <c r="H18" s="30">
        <v>650.0</v>
      </c>
      <c r="I18" s="31">
        <f t="shared" si="2"/>
        <v>48100</v>
      </c>
      <c r="J18" s="47"/>
      <c r="K18" s="48">
        <f>G18*500</f>
        <v>37000</v>
      </c>
    </row>
    <row r="19" ht="15.75" customHeight="1">
      <c r="B19" s="41" t="s">
        <v>113</v>
      </c>
      <c r="I19" s="49">
        <f>SUM(I12:I18)</f>
        <v>300000</v>
      </c>
      <c r="J19" s="50"/>
      <c r="K19" s="43">
        <f>SUM(K12:K18)</f>
        <v>257000</v>
      </c>
    </row>
    <row r="20" ht="15.75" customHeight="1">
      <c r="B20" s="22" t="s">
        <v>36</v>
      </c>
      <c r="C20" s="23"/>
      <c r="D20" s="23"/>
      <c r="E20" s="23"/>
      <c r="F20" s="23"/>
      <c r="G20" s="23"/>
      <c r="H20" s="23"/>
      <c r="I20" s="23"/>
      <c r="J20" s="23"/>
      <c r="K20" s="24"/>
    </row>
    <row r="21" ht="15.75" customHeight="1">
      <c r="B21" s="34" t="s">
        <v>37</v>
      </c>
      <c r="F21" s="31" t="s">
        <v>11</v>
      </c>
      <c r="G21" s="30">
        <v>125.0</v>
      </c>
      <c r="H21" s="30">
        <v>1350.0</v>
      </c>
      <c r="I21" s="31">
        <f t="shared" ref="I21:I26" si="4">G21*H21</f>
        <v>168750</v>
      </c>
      <c r="K21" s="33">
        <f>G21*1200</f>
        <v>150000</v>
      </c>
    </row>
    <row r="22" ht="16.5" customHeight="1">
      <c r="B22" s="34" t="s">
        <v>38</v>
      </c>
      <c r="F22" s="31" t="s">
        <v>11</v>
      </c>
      <c r="G22" s="30">
        <v>25.0</v>
      </c>
      <c r="H22" s="30">
        <v>1050.0</v>
      </c>
      <c r="I22" s="31">
        <f t="shared" si="4"/>
        <v>26250</v>
      </c>
      <c r="K22" s="33">
        <f>G22*900</f>
        <v>22500</v>
      </c>
    </row>
    <row r="23" ht="15.75" customHeight="1">
      <c r="B23" s="34" t="s">
        <v>39</v>
      </c>
      <c r="F23" s="31" t="s">
        <v>11</v>
      </c>
      <c r="G23" s="30">
        <v>48.0</v>
      </c>
      <c r="H23" s="30">
        <v>1350.0</v>
      </c>
      <c r="I23" s="31">
        <f t="shared" si="4"/>
        <v>64800</v>
      </c>
      <c r="K23" s="33">
        <f>G23*1200</f>
        <v>57600</v>
      </c>
    </row>
    <row r="24" ht="15.75" customHeight="1">
      <c r="B24" s="34" t="s">
        <v>38</v>
      </c>
      <c r="F24" s="31" t="s">
        <v>11</v>
      </c>
      <c r="G24" s="30">
        <v>15.0</v>
      </c>
      <c r="H24" s="30">
        <v>1050.0</v>
      </c>
      <c r="I24" s="31">
        <f t="shared" si="4"/>
        <v>15750</v>
      </c>
      <c r="J24" s="32" t="s">
        <v>119</v>
      </c>
      <c r="K24" s="33">
        <f>G24*950</f>
        <v>14250</v>
      </c>
    </row>
    <row r="25" ht="15.75" customHeight="1">
      <c r="B25" s="51" t="s">
        <v>40</v>
      </c>
      <c r="F25" s="31" t="s">
        <v>11</v>
      </c>
      <c r="G25" s="30">
        <v>103.0</v>
      </c>
      <c r="H25" s="30">
        <v>350.0</v>
      </c>
      <c r="I25" s="31">
        <f t="shared" si="4"/>
        <v>36050</v>
      </c>
      <c r="J25" s="32" t="s">
        <v>120</v>
      </c>
      <c r="K25" s="33">
        <f>G25*200</f>
        <v>20600</v>
      </c>
    </row>
    <row r="26">
      <c r="B26" s="52" t="s">
        <v>121</v>
      </c>
      <c r="F26" s="31" t="s">
        <v>19</v>
      </c>
      <c r="G26" s="30">
        <v>3.0</v>
      </c>
      <c r="H26" s="53">
        <v>11500.0</v>
      </c>
      <c r="I26" s="31">
        <f t="shared" si="4"/>
        <v>34500</v>
      </c>
      <c r="J26" s="32" t="s">
        <v>122</v>
      </c>
      <c r="K26" s="33">
        <v>15000.0</v>
      </c>
    </row>
    <row r="27">
      <c r="B27" s="41" t="s">
        <v>113</v>
      </c>
      <c r="I27" s="54">
        <f>SUM(I21:I26)</f>
        <v>346100</v>
      </c>
      <c r="J27" s="55"/>
      <c r="K27" s="43">
        <f>SUM(K21:K26)</f>
        <v>279950</v>
      </c>
    </row>
    <row r="28">
      <c r="B28" s="22" t="s">
        <v>41</v>
      </c>
      <c r="C28" s="23"/>
      <c r="D28" s="23"/>
      <c r="E28" s="23"/>
      <c r="F28" s="23"/>
      <c r="G28" s="23"/>
      <c r="H28" s="23"/>
      <c r="I28" s="23"/>
      <c r="J28" s="23"/>
      <c r="K28" s="24"/>
    </row>
    <row r="29">
      <c r="B29" s="34" t="s">
        <v>37</v>
      </c>
      <c r="F29" s="31" t="s">
        <v>11</v>
      </c>
      <c r="G29" s="30">
        <v>55.0</v>
      </c>
      <c r="H29" s="30">
        <v>1350.0</v>
      </c>
      <c r="I29" s="31">
        <f t="shared" ref="I29:I37" si="5">G29*H29</f>
        <v>74250</v>
      </c>
      <c r="K29" s="33">
        <f>G29*1200</f>
        <v>66000</v>
      </c>
      <c r="L29" s="56" t="s">
        <v>123</v>
      </c>
    </row>
    <row r="30">
      <c r="B30" s="34" t="s">
        <v>42</v>
      </c>
      <c r="F30" s="31" t="s">
        <v>11</v>
      </c>
      <c r="G30" s="30">
        <v>18.0</v>
      </c>
      <c r="H30" s="57">
        <v>1050.0</v>
      </c>
      <c r="I30" s="31">
        <f t="shared" si="5"/>
        <v>18900</v>
      </c>
      <c r="J30" s="39" t="s">
        <v>124</v>
      </c>
      <c r="K30" s="33">
        <f>G30*950</f>
        <v>17100</v>
      </c>
    </row>
    <row r="31">
      <c r="B31" s="52" t="s">
        <v>125</v>
      </c>
      <c r="F31" s="31" t="s">
        <v>19</v>
      </c>
      <c r="G31" s="30">
        <v>2.0</v>
      </c>
      <c r="H31" s="53">
        <v>12500.0</v>
      </c>
      <c r="I31" s="31">
        <f t="shared" si="5"/>
        <v>25000</v>
      </c>
      <c r="J31" s="58" t="s">
        <v>126</v>
      </c>
      <c r="K31" s="33">
        <f>G31*6500</f>
        <v>13000</v>
      </c>
    </row>
    <row r="32">
      <c r="B32" s="59" t="s">
        <v>127</v>
      </c>
      <c r="F32" s="31" t="s">
        <v>11</v>
      </c>
      <c r="G32" s="30">
        <v>115.0</v>
      </c>
      <c r="H32" s="30">
        <v>400.0</v>
      </c>
      <c r="I32" s="35">
        <f t="shared" si="5"/>
        <v>46000</v>
      </c>
      <c r="J32" s="32" t="s">
        <v>128</v>
      </c>
      <c r="K32" s="33">
        <f>G32*300</f>
        <v>34500</v>
      </c>
    </row>
    <row r="33">
      <c r="B33" s="34" t="s">
        <v>45</v>
      </c>
      <c r="F33" s="31" t="s">
        <v>11</v>
      </c>
      <c r="G33" s="30">
        <v>38.0</v>
      </c>
      <c r="H33" s="30">
        <v>950.0</v>
      </c>
      <c r="I33" s="35">
        <f t="shared" si="5"/>
        <v>36100</v>
      </c>
      <c r="J33" s="60" t="s">
        <v>129</v>
      </c>
      <c r="K33" s="33">
        <f>G33*750</f>
        <v>28500</v>
      </c>
    </row>
    <row r="34">
      <c r="B34" s="34" t="s">
        <v>46</v>
      </c>
      <c r="F34" s="31" t="s">
        <v>11</v>
      </c>
      <c r="G34" s="30">
        <v>25.0</v>
      </c>
      <c r="H34" s="30">
        <v>950.0</v>
      </c>
      <c r="I34" s="31">
        <f t="shared" si="5"/>
        <v>23750</v>
      </c>
      <c r="J34" s="32" t="s">
        <v>130</v>
      </c>
      <c r="K34" s="33">
        <f>G34*900</f>
        <v>22500</v>
      </c>
    </row>
    <row r="35">
      <c r="B35" s="61" t="s">
        <v>20</v>
      </c>
      <c r="F35" s="31" t="s">
        <v>11</v>
      </c>
      <c r="G35" s="30">
        <v>15.0</v>
      </c>
      <c r="H35" s="30">
        <v>850.0</v>
      </c>
      <c r="I35" s="31">
        <f t="shared" si="5"/>
        <v>12750</v>
      </c>
      <c r="J35" s="32" t="s">
        <v>131</v>
      </c>
      <c r="K35" s="33">
        <f>G35*550</f>
        <v>8250</v>
      </c>
    </row>
    <row r="36">
      <c r="B36" s="34" t="s">
        <v>50</v>
      </c>
      <c r="F36" s="31" t="s">
        <v>11</v>
      </c>
      <c r="G36" s="30">
        <v>45.0</v>
      </c>
      <c r="H36" s="30">
        <v>1350.0</v>
      </c>
      <c r="I36" s="31">
        <f t="shared" si="5"/>
        <v>60750</v>
      </c>
      <c r="J36" s="32" t="s">
        <v>132</v>
      </c>
      <c r="K36" s="33">
        <f>G36*1200</f>
        <v>54000</v>
      </c>
    </row>
    <row r="37">
      <c r="B37" s="34" t="s">
        <v>42</v>
      </c>
      <c r="F37" s="31" t="s">
        <v>11</v>
      </c>
      <c r="G37" s="30">
        <v>25.0</v>
      </c>
      <c r="H37" s="53">
        <v>1350.0</v>
      </c>
      <c r="I37" s="31">
        <f t="shared" si="5"/>
        <v>33750</v>
      </c>
      <c r="J37" s="39" t="s">
        <v>133</v>
      </c>
      <c r="K37" s="33">
        <f>G37*950</f>
        <v>23750</v>
      </c>
    </row>
    <row r="38">
      <c r="B38" s="41" t="s">
        <v>113</v>
      </c>
      <c r="I38" s="62">
        <f>SUM(I29:I37)</f>
        <v>331250</v>
      </c>
      <c r="K38" s="43">
        <f>SUM(K29:K37)</f>
        <v>267600</v>
      </c>
    </row>
    <row r="39">
      <c r="B39" s="22" t="s">
        <v>49</v>
      </c>
      <c r="C39" s="23"/>
      <c r="D39" s="23"/>
      <c r="E39" s="23"/>
      <c r="F39" s="23"/>
      <c r="G39" s="23"/>
      <c r="H39" s="23"/>
      <c r="I39" s="23"/>
      <c r="J39" s="23"/>
      <c r="K39" s="24"/>
    </row>
    <row r="40">
      <c r="B40" s="34" t="s">
        <v>50</v>
      </c>
      <c r="F40" s="31" t="s">
        <v>11</v>
      </c>
      <c r="G40" s="63">
        <v>95.0</v>
      </c>
      <c r="H40" s="30">
        <v>1350.0</v>
      </c>
      <c r="I40" s="31">
        <f t="shared" ref="I40:I44" si="6">G40*H40</f>
        <v>128250</v>
      </c>
      <c r="J40" s="64" t="s">
        <v>134</v>
      </c>
      <c r="K40" s="33">
        <f>G40*1200</f>
        <v>114000</v>
      </c>
      <c r="L40" s="65" t="s">
        <v>135</v>
      </c>
    </row>
    <row r="41">
      <c r="B41" s="59" t="s">
        <v>136</v>
      </c>
      <c r="F41" s="31" t="s">
        <v>11</v>
      </c>
      <c r="G41" s="30">
        <v>15.0</v>
      </c>
      <c r="H41" s="30">
        <v>1350.0</v>
      </c>
      <c r="I41" s="31">
        <f t="shared" si="6"/>
        <v>20250</v>
      </c>
      <c r="K41" s="66">
        <f>G41*1100</f>
        <v>16500</v>
      </c>
    </row>
    <row r="42">
      <c r="B42" s="34" t="s">
        <v>52</v>
      </c>
      <c r="F42" s="31" t="s">
        <v>11</v>
      </c>
      <c r="G42" s="30">
        <v>4.0</v>
      </c>
      <c r="H42" s="30">
        <v>11500.0</v>
      </c>
      <c r="I42" s="31">
        <f t="shared" si="6"/>
        <v>46000</v>
      </c>
      <c r="J42" s="32" t="s">
        <v>137</v>
      </c>
      <c r="K42" s="40"/>
    </row>
    <row r="43">
      <c r="B43" s="34" t="s">
        <v>138</v>
      </c>
      <c r="F43" s="31" t="s">
        <v>11</v>
      </c>
      <c r="G43" s="30">
        <v>30.0</v>
      </c>
      <c r="H43" s="30">
        <v>1350.0</v>
      </c>
      <c r="I43" s="31">
        <f t="shared" si="6"/>
        <v>40500</v>
      </c>
      <c r="K43" s="33">
        <f>G43*1150</f>
        <v>34500</v>
      </c>
    </row>
    <row r="44">
      <c r="B44" s="34" t="s">
        <v>54</v>
      </c>
      <c r="F44" s="31" t="s">
        <v>11</v>
      </c>
      <c r="G44" s="30">
        <v>115.0</v>
      </c>
      <c r="H44" s="30">
        <v>400.0</v>
      </c>
      <c r="I44" s="35">
        <f t="shared" si="6"/>
        <v>46000</v>
      </c>
      <c r="J44" s="67" t="s">
        <v>139</v>
      </c>
      <c r="K44" s="40">
        <f>50*350</f>
        <v>17500</v>
      </c>
    </row>
    <row r="45">
      <c r="B45" s="41" t="s">
        <v>113</v>
      </c>
      <c r="I45" s="62">
        <f>SUM(I40:I44)</f>
        <v>281000</v>
      </c>
      <c r="J45" s="68" t="s">
        <v>17</v>
      </c>
      <c r="K45" s="43">
        <f>SUM(K40:K44)</f>
        <v>182500</v>
      </c>
    </row>
    <row r="46">
      <c r="B46" s="22" t="s">
        <v>55</v>
      </c>
      <c r="C46" s="23"/>
      <c r="D46" s="23"/>
      <c r="E46" s="23"/>
      <c r="F46" s="23"/>
      <c r="G46" s="23"/>
      <c r="H46" s="23"/>
      <c r="I46" s="23"/>
      <c r="J46" s="23"/>
      <c r="K46" s="24"/>
    </row>
    <row r="47">
      <c r="B47" s="31" t="s">
        <v>56</v>
      </c>
      <c r="F47" s="31" t="s">
        <v>21</v>
      </c>
      <c r="G47" s="30">
        <v>15.0</v>
      </c>
      <c r="H47" s="30">
        <v>1350.0</v>
      </c>
      <c r="I47" s="31">
        <f t="shared" ref="I47:I49" si="7">G47*H47</f>
        <v>20250</v>
      </c>
      <c r="K47" s="33">
        <f>G47*1200</f>
        <v>18000</v>
      </c>
    </row>
    <row r="48">
      <c r="B48" s="34" t="s">
        <v>57</v>
      </c>
      <c r="F48" s="31" t="s">
        <v>21</v>
      </c>
      <c r="G48" s="30">
        <v>36.0</v>
      </c>
      <c r="H48" s="30">
        <v>450.0</v>
      </c>
      <c r="I48" s="31">
        <f t="shared" si="7"/>
        <v>16200</v>
      </c>
      <c r="J48" s="69" t="s">
        <v>140</v>
      </c>
      <c r="K48" s="33">
        <f>G48*400</f>
        <v>14400</v>
      </c>
    </row>
    <row r="49">
      <c r="B49" s="31" t="s">
        <v>58</v>
      </c>
      <c r="F49" s="31" t="s">
        <v>21</v>
      </c>
      <c r="G49" s="30">
        <v>95.0</v>
      </c>
      <c r="H49" s="30">
        <v>1500.0</v>
      </c>
      <c r="I49" s="35">
        <f t="shared" si="7"/>
        <v>142500</v>
      </c>
      <c r="K49" s="40">
        <f>G49*1400</f>
        <v>133000</v>
      </c>
    </row>
    <row r="50">
      <c r="B50" s="41" t="s">
        <v>113</v>
      </c>
      <c r="I50" s="62">
        <f>SUM(I47:I49)</f>
        <v>178950</v>
      </c>
      <c r="K50" s="43">
        <f>SUM(K47:K49)</f>
        <v>165400</v>
      </c>
    </row>
    <row r="51">
      <c r="B51" s="22" t="s">
        <v>59</v>
      </c>
      <c r="C51" s="23"/>
      <c r="D51" s="23"/>
      <c r="E51" s="23"/>
      <c r="F51" s="23"/>
      <c r="G51" s="23"/>
      <c r="H51" s="23"/>
      <c r="I51" s="23"/>
      <c r="J51" s="23"/>
      <c r="K51" s="24"/>
    </row>
    <row r="52">
      <c r="B52" s="70" t="s">
        <v>60</v>
      </c>
      <c r="C52" s="31"/>
      <c r="F52" s="31" t="s">
        <v>21</v>
      </c>
      <c r="G52" s="30">
        <v>68.0</v>
      </c>
      <c r="H52" s="30">
        <v>350.0</v>
      </c>
      <c r="I52" s="31"/>
      <c r="J52" s="32" t="s">
        <v>141</v>
      </c>
      <c r="K52" s="33"/>
    </row>
    <row r="53">
      <c r="B53" s="70" t="s">
        <v>61</v>
      </c>
      <c r="F53" s="31" t="s">
        <v>21</v>
      </c>
      <c r="G53" s="30">
        <v>100.0</v>
      </c>
      <c r="H53" s="30">
        <v>850.0</v>
      </c>
      <c r="I53" s="35"/>
      <c r="J53" s="32" t="s">
        <v>142</v>
      </c>
      <c r="K53" s="33"/>
    </row>
    <row r="54">
      <c r="B54" s="31" t="s">
        <v>62</v>
      </c>
      <c r="F54" s="31" t="s">
        <v>21</v>
      </c>
      <c r="G54" s="30">
        <v>30.0</v>
      </c>
      <c r="H54" s="30">
        <v>950.0</v>
      </c>
      <c r="I54" s="31">
        <f>G54*H54</f>
        <v>28500</v>
      </c>
      <c r="K54" s="33">
        <f>G54*950</f>
        <v>28500</v>
      </c>
    </row>
    <row r="55">
      <c r="B55" s="34" t="s">
        <v>63</v>
      </c>
      <c r="F55" s="31" t="s">
        <v>21</v>
      </c>
      <c r="G55" s="30">
        <v>1.0</v>
      </c>
      <c r="H55" s="30">
        <v>25000.0</v>
      </c>
      <c r="I55" s="35"/>
      <c r="J55" s="32" t="s">
        <v>143</v>
      </c>
      <c r="K55" s="33"/>
      <c r="L55" s="8" t="s">
        <v>144</v>
      </c>
    </row>
    <row r="56">
      <c r="B56" s="34" t="s">
        <v>64</v>
      </c>
      <c r="F56" s="31" t="s">
        <v>21</v>
      </c>
      <c r="G56" s="30">
        <v>20.0</v>
      </c>
      <c r="H56" s="30">
        <v>1250.0</v>
      </c>
      <c r="I56" s="31">
        <f>G56*H56</f>
        <v>25000</v>
      </c>
      <c r="K56" s="40">
        <f>G56*1200</f>
        <v>24000</v>
      </c>
    </row>
    <row r="57">
      <c r="B57" s="41" t="s">
        <v>113</v>
      </c>
      <c r="I57" s="62">
        <f>SUM(I52:I56)</f>
        <v>53500</v>
      </c>
      <c r="K57" s="43">
        <f>SUM(K52:K56)</f>
        <v>52500</v>
      </c>
    </row>
    <row r="58">
      <c r="B58" s="22" t="s">
        <v>65</v>
      </c>
      <c r="C58" s="23"/>
      <c r="D58" s="23"/>
      <c r="E58" s="23"/>
      <c r="F58" s="23"/>
      <c r="G58" s="23"/>
      <c r="H58" s="23"/>
      <c r="I58" s="23"/>
      <c r="J58" s="23"/>
      <c r="K58" s="24"/>
    </row>
    <row r="59">
      <c r="B59" s="34" t="s">
        <v>66</v>
      </c>
      <c r="F59" s="31" t="s">
        <v>11</v>
      </c>
      <c r="G59" s="30">
        <v>20.0</v>
      </c>
      <c r="H59" s="30">
        <v>1350.0</v>
      </c>
      <c r="I59" s="31">
        <f t="shared" ref="I59:I62" si="8">G59*H59</f>
        <v>27000</v>
      </c>
      <c r="K59" s="33">
        <f>G59*1200</f>
        <v>24000</v>
      </c>
    </row>
    <row r="60">
      <c r="B60" s="34" t="s">
        <v>67</v>
      </c>
      <c r="F60" s="31" t="s">
        <v>11</v>
      </c>
      <c r="G60" s="30">
        <v>25.0</v>
      </c>
      <c r="H60" s="30">
        <v>950.0</v>
      </c>
      <c r="I60" s="31">
        <f t="shared" si="8"/>
        <v>23750</v>
      </c>
      <c r="K60" s="33">
        <f>G60*900</f>
        <v>22500</v>
      </c>
    </row>
    <row r="61">
      <c r="B61" s="34" t="s">
        <v>68</v>
      </c>
      <c r="F61" s="31" t="s">
        <v>69</v>
      </c>
      <c r="G61" s="30">
        <v>1.0</v>
      </c>
      <c r="H61" s="30">
        <v>12500.0</v>
      </c>
      <c r="I61" s="31">
        <f t="shared" si="8"/>
        <v>12500</v>
      </c>
      <c r="K61" s="33">
        <f>12000</f>
        <v>12000</v>
      </c>
    </row>
    <row r="62">
      <c r="B62" s="34" t="s">
        <v>70</v>
      </c>
      <c r="F62" s="31" t="s">
        <v>21</v>
      </c>
      <c r="G62" s="30">
        <v>25.0</v>
      </c>
      <c r="H62" s="63">
        <v>400.0</v>
      </c>
      <c r="I62" s="31">
        <f t="shared" si="8"/>
        <v>10000</v>
      </c>
      <c r="J62" s="32" t="s">
        <v>145</v>
      </c>
      <c r="K62" s="40">
        <f>G62*450</f>
        <v>11250</v>
      </c>
    </row>
    <row r="63">
      <c r="B63" s="41" t="s">
        <v>113</v>
      </c>
      <c r="I63" s="62">
        <f>SUM(I59:I62)</f>
        <v>73250</v>
      </c>
      <c r="K63" s="43">
        <f>SUM(K59:K62)</f>
        <v>69750</v>
      </c>
    </row>
    <row r="64">
      <c r="B64" s="22" t="s">
        <v>71</v>
      </c>
      <c r="C64" s="23"/>
      <c r="D64" s="23"/>
      <c r="E64" s="23"/>
      <c r="F64" s="23"/>
      <c r="G64" s="23"/>
      <c r="H64" s="23"/>
      <c r="I64" s="23"/>
      <c r="J64" s="23"/>
      <c r="K64" s="24"/>
    </row>
    <row r="65">
      <c r="B65" s="34" t="s">
        <v>72</v>
      </c>
      <c r="F65" s="31" t="s">
        <v>21</v>
      </c>
      <c r="G65" s="30">
        <v>25.0</v>
      </c>
      <c r="H65" s="30">
        <v>1250.0</v>
      </c>
      <c r="I65" s="31">
        <f t="shared" ref="I65:I67" si="9">G65*H65</f>
        <v>31250</v>
      </c>
      <c r="J65" s="71" t="s">
        <v>146</v>
      </c>
      <c r="K65" s="33">
        <f>G65*H65</f>
        <v>31250</v>
      </c>
    </row>
    <row r="66">
      <c r="B66" s="34" t="s">
        <v>73</v>
      </c>
      <c r="F66" s="31" t="s">
        <v>21</v>
      </c>
      <c r="G66" s="30">
        <v>45.0</v>
      </c>
      <c r="H66" s="30">
        <v>1050.0</v>
      </c>
      <c r="I66" s="35">
        <f t="shared" si="9"/>
        <v>47250</v>
      </c>
      <c r="K66" s="33">
        <f>G66*950</f>
        <v>42750</v>
      </c>
    </row>
    <row r="67">
      <c r="B67" s="34" t="s">
        <v>31</v>
      </c>
      <c r="F67" s="31" t="s">
        <v>21</v>
      </c>
      <c r="G67" s="30">
        <v>85.0</v>
      </c>
      <c r="H67" s="30">
        <v>250.0</v>
      </c>
      <c r="I67" s="31">
        <f t="shared" si="9"/>
        <v>21250</v>
      </c>
      <c r="K67" s="40">
        <f>I67</f>
        <v>21250</v>
      </c>
    </row>
    <row r="68">
      <c r="B68" s="41" t="s">
        <v>113</v>
      </c>
      <c r="I68" s="62">
        <f>SUM(I65:I67)</f>
        <v>99750</v>
      </c>
      <c r="K68" s="43">
        <f>SUM(K65:K67)</f>
        <v>95250</v>
      </c>
    </row>
    <row r="69">
      <c r="B69" s="22" t="s">
        <v>74</v>
      </c>
      <c r="C69" s="23"/>
      <c r="D69" s="23"/>
      <c r="E69" s="23"/>
      <c r="F69" s="23"/>
      <c r="G69" s="23"/>
      <c r="H69" s="23"/>
      <c r="I69" s="23"/>
      <c r="J69" s="23"/>
      <c r="K69" s="24"/>
    </row>
    <row r="70">
      <c r="B70" s="34" t="s">
        <v>75</v>
      </c>
      <c r="F70" s="31" t="s">
        <v>21</v>
      </c>
      <c r="G70" s="63">
        <v>2025.0</v>
      </c>
      <c r="H70" s="30">
        <v>80.0</v>
      </c>
      <c r="I70" s="35">
        <f>G70*H70</f>
        <v>162000</v>
      </c>
      <c r="J70" s="72" t="s">
        <v>147</v>
      </c>
      <c r="K70" s="73">
        <f>2200*H70</f>
        <v>176000</v>
      </c>
    </row>
    <row r="71">
      <c r="B71" s="22" t="s">
        <v>76</v>
      </c>
      <c r="C71" s="23"/>
      <c r="D71" s="23"/>
      <c r="E71" s="23"/>
      <c r="F71" s="23"/>
      <c r="G71" s="23"/>
      <c r="H71" s="23"/>
      <c r="I71" s="23"/>
      <c r="J71" s="23"/>
      <c r="K71" s="24"/>
    </row>
    <row r="72">
      <c r="B72" s="34" t="s">
        <v>77</v>
      </c>
      <c r="F72" s="31" t="s">
        <v>78</v>
      </c>
      <c r="G72" s="30">
        <v>45.0</v>
      </c>
      <c r="H72" s="30">
        <v>950.0</v>
      </c>
      <c r="I72" s="31">
        <f t="shared" ref="I72:I75" si="10">G72*H72</f>
        <v>42750</v>
      </c>
      <c r="K72" s="33">
        <f t="shared" ref="K72:K75" si="11">I72</f>
        <v>42750</v>
      </c>
    </row>
    <row r="73">
      <c r="B73" s="34" t="s">
        <v>79</v>
      </c>
      <c r="F73" s="31" t="s">
        <v>80</v>
      </c>
      <c r="G73" s="30">
        <v>46.0</v>
      </c>
      <c r="H73" s="30">
        <v>650.0</v>
      </c>
      <c r="I73" s="31">
        <f t="shared" si="10"/>
        <v>29900</v>
      </c>
      <c r="K73" s="33">
        <f t="shared" si="11"/>
        <v>29900</v>
      </c>
    </row>
    <row r="74">
      <c r="B74" s="34" t="s">
        <v>81</v>
      </c>
      <c r="F74" s="31" t="s">
        <v>78</v>
      </c>
      <c r="G74" s="30">
        <v>45.0</v>
      </c>
      <c r="H74" s="30">
        <v>350.0</v>
      </c>
      <c r="I74" s="31">
        <f t="shared" si="10"/>
        <v>15750</v>
      </c>
      <c r="K74" s="33">
        <f t="shared" si="11"/>
        <v>15750</v>
      </c>
    </row>
    <row r="75">
      <c r="B75" s="31" t="s">
        <v>82</v>
      </c>
      <c r="F75" s="31" t="s">
        <v>78</v>
      </c>
      <c r="G75" s="30">
        <v>90.0</v>
      </c>
      <c r="H75" s="30">
        <v>250.0</v>
      </c>
      <c r="I75" s="31">
        <f t="shared" si="10"/>
        <v>22500</v>
      </c>
      <c r="K75" s="40">
        <f t="shared" si="11"/>
        <v>22500</v>
      </c>
    </row>
    <row r="76">
      <c r="B76" s="41" t="s">
        <v>113</v>
      </c>
      <c r="I76" s="62">
        <f>SUM(I72:I75)</f>
        <v>110900</v>
      </c>
      <c r="J76" s="74" t="s">
        <v>148</v>
      </c>
      <c r="K76" s="43">
        <f>SUM(K72:K75)</f>
        <v>110900</v>
      </c>
    </row>
    <row r="77">
      <c r="B77" s="22" t="s">
        <v>83</v>
      </c>
      <c r="C77" s="23"/>
      <c r="D77" s="23"/>
      <c r="E77" s="23"/>
      <c r="F77" s="23"/>
      <c r="G77" s="23"/>
      <c r="H77" s="23"/>
      <c r="I77" s="23"/>
      <c r="J77" s="23"/>
      <c r="K77" s="24"/>
    </row>
    <row r="78">
      <c r="B78" s="34" t="s">
        <v>84</v>
      </c>
      <c r="F78" s="31" t="s">
        <v>21</v>
      </c>
      <c r="G78" s="30">
        <v>76.0</v>
      </c>
      <c r="H78" s="30">
        <v>300.0</v>
      </c>
      <c r="I78" s="31">
        <f t="shared" ref="I78:I83" si="12">G78*H78</f>
        <v>22800</v>
      </c>
      <c r="J78" s="75" t="s">
        <v>149</v>
      </c>
      <c r="K78" s="33">
        <f t="shared" ref="K78:K82" si="13">I78</f>
        <v>22800</v>
      </c>
    </row>
    <row r="79">
      <c r="B79" s="34" t="s">
        <v>85</v>
      </c>
      <c r="F79" s="31" t="s">
        <v>21</v>
      </c>
      <c r="G79" s="30">
        <v>46.0</v>
      </c>
      <c r="H79" s="30">
        <v>300.0</v>
      </c>
      <c r="I79" s="31">
        <f t="shared" si="12"/>
        <v>13800</v>
      </c>
      <c r="K79" s="33">
        <f t="shared" si="13"/>
        <v>13800</v>
      </c>
    </row>
    <row r="80">
      <c r="B80" s="34" t="s">
        <v>86</v>
      </c>
      <c r="F80" s="31" t="s">
        <v>21</v>
      </c>
      <c r="G80" s="30">
        <v>44.0</v>
      </c>
      <c r="H80" s="30">
        <v>300.0</v>
      </c>
      <c r="I80" s="31">
        <f t="shared" si="12"/>
        <v>13200</v>
      </c>
      <c r="K80" s="33">
        <f t="shared" si="13"/>
        <v>13200</v>
      </c>
    </row>
    <row r="81">
      <c r="B81" s="34" t="s">
        <v>87</v>
      </c>
      <c r="F81" s="31" t="s">
        <v>21</v>
      </c>
      <c r="G81" s="30">
        <v>76.0</v>
      </c>
      <c r="H81" s="30">
        <v>300.0</v>
      </c>
      <c r="I81" s="31">
        <f t="shared" si="12"/>
        <v>22800</v>
      </c>
      <c r="K81" s="33">
        <f t="shared" si="13"/>
        <v>22800</v>
      </c>
    </row>
    <row r="82">
      <c r="B82" s="34" t="s">
        <v>88</v>
      </c>
      <c r="F82" s="31" t="s">
        <v>21</v>
      </c>
      <c r="G82" s="30">
        <v>59.0</v>
      </c>
      <c r="H82" s="30">
        <v>300.0</v>
      </c>
      <c r="I82" s="31">
        <f t="shared" si="12"/>
        <v>17700</v>
      </c>
      <c r="K82" s="33">
        <f t="shared" si="13"/>
        <v>17700</v>
      </c>
    </row>
    <row r="83">
      <c r="B83" s="34" t="s">
        <v>150</v>
      </c>
      <c r="G83" s="30"/>
      <c r="H83" s="30"/>
      <c r="I83" s="31">
        <f t="shared" si="12"/>
        <v>0</v>
      </c>
      <c r="J83" s="69" t="s">
        <v>151</v>
      </c>
      <c r="K83" s="33"/>
    </row>
    <row r="84">
      <c r="B84" s="41" t="s">
        <v>113</v>
      </c>
      <c r="I84" s="62">
        <f>SUM(I78:I83)</f>
        <v>90300</v>
      </c>
      <c r="K84" s="43">
        <f>SUM(K78:K83)</f>
        <v>90300</v>
      </c>
    </row>
    <row r="85">
      <c r="B85" s="22" t="s">
        <v>152</v>
      </c>
      <c r="C85" s="23"/>
      <c r="D85" s="23"/>
      <c r="E85" s="23"/>
      <c r="F85" s="23"/>
      <c r="G85" s="23"/>
      <c r="H85" s="23"/>
      <c r="I85" s="23"/>
      <c r="J85" s="23"/>
      <c r="K85" s="24"/>
    </row>
    <row r="86">
      <c r="B86" s="34" t="s">
        <v>89</v>
      </c>
      <c r="F86" s="31" t="s">
        <v>21</v>
      </c>
      <c r="G86" s="30">
        <v>1.0</v>
      </c>
      <c r="H86" s="30">
        <v>85000.0</v>
      </c>
      <c r="I86" s="31">
        <f t="shared" ref="I86:I87" si="14">G86*H86</f>
        <v>85000</v>
      </c>
      <c r="K86" s="33">
        <f t="shared" ref="K86:K87" si="15">I86</f>
        <v>85000</v>
      </c>
    </row>
    <row r="87">
      <c r="B87" s="34" t="s">
        <v>90</v>
      </c>
      <c r="G87" s="30">
        <v>1.0</v>
      </c>
      <c r="H87" s="30">
        <v>45000.0</v>
      </c>
      <c r="I87" s="31">
        <f t="shared" si="14"/>
        <v>45000</v>
      </c>
      <c r="K87" s="40">
        <f t="shared" si="15"/>
        <v>45000</v>
      </c>
    </row>
    <row r="88">
      <c r="B88" s="76" t="s">
        <v>153</v>
      </c>
      <c r="G88" s="30"/>
      <c r="H88" s="30"/>
      <c r="I88" s="77" t="s">
        <v>154</v>
      </c>
      <c r="K88" s="33"/>
    </row>
    <row r="89">
      <c r="B89" s="41" t="s">
        <v>113</v>
      </c>
      <c r="I89" s="78">
        <f>SUM(I86:I88)</f>
        <v>130000</v>
      </c>
      <c r="K89" s="43">
        <f>SUM(K86:K88)</f>
        <v>130000</v>
      </c>
    </row>
    <row r="90">
      <c r="B90" s="79" t="s">
        <v>75</v>
      </c>
      <c r="I90" s="31">
        <f>I89+I84+I76+I70+I68+I63+I57+I50+I45+I38+I27+I19+I10</f>
        <v>2302250</v>
      </c>
      <c r="J90" s="78" t="s">
        <v>155</v>
      </c>
      <c r="K90" s="80">
        <f>K89+K84+K76+K68+K63+K57+K50+K45+K38+K27+K19+K10+K70-K84</f>
        <v>1937500</v>
      </c>
    </row>
    <row r="91">
      <c r="G91" s="30"/>
      <c r="H91" s="30"/>
      <c r="J91" s="78" t="s">
        <v>156</v>
      </c>
      <c r="K91" s="81">
        <f>'Sheet3 (1)'!I13</f>
        <v>286000</v>
      </c>
    </row>
    <row r="92">
      <c r="G92" s="30"/>
      <c r="H92" s="30"/>
      <c r="J92" s="78" t="s">
        <v>157</v>
      </c>
      <c r="K92" s="82">
        <f>K90+K91</f>
        <v>2223500</v>
      </c>
    </row>
    <row r="93">
      <c r="B93" s="34"/>
      <c r="G93" s="30"/>
      <c r="H93" s="30"/>
      <c r="K93" s="27"/>
    </row>
    <row r="94">
      <c r="B94" s="78" t="s">
        <v>158</v>
      </c>
      <c r="G94" s="30"/>
      <c r="H94" s="30"/>
      <c r="K94" s="27"/>
    </row>
    <row r="95">
      <c r="B95" s="7" t="s">
        <v>159</v>
      </c>
      <c r="G95" s="30"/>
      <c r="H95" s="30"/>
      <c r="K95" s="27"/>
    </row>
    <row r="96">
      <c r="B96" s="83" t="s">
        <v>160</v>
      </c>
      <c r="G96" s="30"/>
      <c r="H96" s="30"/>
      <c r="K96" s="27"/>
    </row>
    <row r="97" ht="28.5" customHeight="1">
      <c r="B97" s="84" t="s">
        <v>161</v>
      </c>
      <c r="K97" s="27"/>
    </row>
    <row r="98">
      <c r="B98" s="34" t="s">
        <v>162</v>
      </c>
      <c r="G98" s="30"/>
      <c r="H98" s="30"/>
      <c r="K98" s="27"/>
    </row>
    <row r="99">
      <c r="B99" s="37" t="s">
        <v>163</v>
      </c>
      <c r="G99" s="30"/>
      <c r="H99" s="30"/>
      <c r="K99" s="27"/>
    </row>
    <row r="100">
      <c r="B100" s="34" t="s">
        <v>164</v>
      </c>
      <c r="G100" s="30"/>
      <c r="H100" s="30"/>
    </row>
    <row r="101">
      <c r="B101" s="34" t="s">
        <v>165</v>
      </c>
      <c r="G101" s="30"/>
      <c r="H101" s="30"/>
    </row>
    <row r="102">
      <c r="B102" s="34" t="s">
        <v>166</v>
      </c>
      <c r="G102" s="30"/>
      <c r="H102" s="30"/>
    </row>
    <row r="103">
      <c r="B103" s="34" t="s">
        <v>167</v>
      </c>
      <c r="F103" s="85" t="s">
        <v>168</v>
      </c>
      <c r="G103" s="86" t="s">
        <v>169</v>
      </c>
      <c r="H103" s="30"/>
    </row>
    <row r="104">
      <c r="B104" s="34" t="s">
        <v>170</v>
      </c>
      <c r="F104" s="87" t="s">
        <v>171</v>
      </c>
      <c r="G104" s="88">
        <v>10.0</v>
      </c>
      <c r="H104" s="30"/>
    </row>
    <row r="105">
      <c r="B105" s="34" t="s">
        <v>172</v>
      </c>
      <c r="C105" s="89" t="s">
        <v>173</v>
      </c>
      <c r="D105" s="23"/>
      <c r="E105" s="90"/>
      <c r="F105" s="55" t="s">
        <v>174</v>
      </c>
      <c r="G105" s="91">
        <v>25.0</v>
      </c>
      <c r="H105" s="30"/>
    </row>
    <row r="106">
      <c r="B106" s="34" t="s">
        <v>175</v>
      </c>
      <c r="F106" s="55" t="s">
        <v>176</v>
      </c>
      <c r="G106" s="91">
        <v>20.0</v>
      </c>
      <c r="H106" s="30"/>
    </row>
    <row r="107">
      <c r="B107" s="34" t="s">
        <v>177</v>
      </c>
      <c r="F107" s="55" t="s">
        <v>178</v>
      </c>
      <c r="G107" s="91">
        <v>20.0</v>
      </c>
      <c r="H107" s="30"/>
    </row>
    <row r="108">
      <c r="B108" s="34"/>
      <c r="F108" s="55" t="s">
        <v>179</v>
      </c>
      <c r="G108" s="91">
        <v>15.0</v>
      </c>
      <c r="H108" s="30"/>
    </row>
    <row r="109">
      <c r="B109" s="34"/>
      <c r="F109" s="55" t="s">
        <v>180</v>
      </c>
      <c r="G109" s="91">
        <v>10.0</v>
      </c>
      <c r="H109" s="30"/>
    </row>
    <row r="110">
      <c r="B110" s="92" t="s">
        <v>181</v>
      </c>
      <c r="G110" s="30"/>
      <c r="H110" s="30"/>
    </row>
    <row r="111">
      <c r="A111" s="7">
        <v>1.0</v>
      </c>
      <c r="B111" s="34" t="s">
        <v>182</v>
      </c>
      <c r="G111" s="30"/>
      <c r="H111" s="30"/>
    </row>
    <row r="112">
      <c r="A112" s="7">
        <v>2.0</v>
      </c>
      <c r="B112" s="34" t="s">
        <v>183</v>
      </c>
    </row>
    <row r="113">
      <c r="A113" s="7">
        <v>3.0</v>
      </c>
      <c r="B113" s="34" t="s">
        <v>184</v>
      </c>
      <c r="G113" s="30"/>
      <c r="H113" s="30"/>
      <c r="K113" s="27"/>
    </row>
    <row r="114">
      <c r="A114" s="7">
        <v>4.0</v>
      </c>
      <c r="B114" s="34" t="s">
        <v>185</v>
      </c>
      <c r="G114" s="30"/>
      <c r="H114" s="30"/>
      <c r="K114" s="27"/>
    </row>
    <row r="115">
      <c r="A115" s="7">
        <v>5.0</v>
      </c>
      <c r="B115" s="34" t="s">
        <v>186</v>
      </c>
      <c r="G115" s="30"/>
      <c r="H115" s="30"/>
      <c r="K115" s="27"/>
    </row>
    <row r="116">
      <c r="A116" s="7">
        <v>6.0</v>
      </c>
      <c r="B116" s="34" t="s">
        <v>187</v>
      </c>
      <c r="G116" s="30"/>
      <c r="H116" s="30"/>
      <c r="K116" s="27"/>
    </row>
    <row r="117">
      <c r="A117" s="7">
        <v>7.0</v>
      </c>
      <c r="B117" s="34" t="s">
        <v>188</v>
      </c>
      <c r="H117" s="30"/>
      <c r="K117" s="27"/>
    </row>
    <row r="118">
      <c r="A118" s="8">
        <v>8.0</v>
      </c>
      <c r="B118" s="34" t="s">
        <v>189</v>
      </c>
    </row>
    <row r="119">
      <c r="B119" s="34"/>
      <c r="G119" s="30"/>
      <c r="H119" s="30"/>
      <c r="K119" s="27"/>
    </row>
    <row r="120">
      <c r="B120" s="34"/>
      <c r="G120" s="30"/>
      <c r="H120" s="30"/>
      <c r="K120" s="27"/>
    </row>
    <row r="121">
      <c r="B121" s="34"/>
      <c r="G121" s="30"/>
      <c r="H121" s="30"/>
      <c r="K121" s="27"/>
    </row>
    <row r="122">
      <c r="B122" s="34"/>
      <c r="G122" s="30"/>
      <c r="H122" s="30"/>
      <c r="K122" s="27"/>
    </row>
    <row r="123">
      <c r="B123" s="34"/>
      <c r="G123" s="30"/>
      <c r="H123" s="30"/>
      <c r="K123" s="27"/>
    </row>
    <row r="124">
      <c r="B124" s="34"/>
      <c r="G124" s="30"/>
      <c r="H124" s="30"/>
      <c r="K124" s="27"/>
    </row>
    <row r="125">
      <c r="B125" s="34"/>
      <c r="G125" s="30"/>
      <c r="H125" s="30"/>
      <c r="K125" s="27"/>
    </row>
    <row r="126">
      <c r="B126" s="34"/>
      <c r="G126" s="30"/>
      <c r="H126" s="30"/>
      <c r="K126" s="27"/>
    </row>
    <row r="127">
      <c r="B127" s="34"/>
      <c r="G127" s="30"/>
      <c r="H127" s="30"/>
      <c r="K127" s="27"/>
    </row>
    <row r="128">
      <c r="B128" s="34"/>
      <c r="G128" s="30"/>
      <c r="H128" s="30"/>
      <c r="K128" s="27"/>
    </row>
    <row r="129">
      <c r="B129" s="34"/>
      <c r="G129" s="30"/>
      <c r="H129" s="30"/>
      <c r="K129" s="27"/>
    </row>
    <row r="130">
      <c r="B130" s="34"/>
      <c r="G130" s="30"/>
      <c r="H130" s="30"/>
      <c r="K130" s="27"/>
    </row>
    <row r="131">
      <c r="B131" s="34"/>
      <c r="G131" s="30"/>
      <c r="H131" s="30"/>
      <c r="K131" s="27"/>
    </row>
    <row r="132">
      <c r="B132" s="34"/>
      <c r="G132" s="30"/>
      <c r="H132" s="30"/>
      <c r="K132" s="27"/>
    </row>
    <row r="133">
      <c r="B133" s="34"/>
      <c r="G133" s="30"/>
      <c r="H133" s="30"/>
      <c r="K133" s="27"/>
    </row>
    <row r="134">
      <c r="B134" s="34"/>
      <c r="G134" s="30"/>
      <c r="H134" s="30"/>
      <c r="K134" s="27"/>
    </row>
    <row r="135">
      <c r="B135" s="34"/>
      <c r="G135" s="30"/>
      <c r="H135" s="30"/>
      <c r="K135" s="27"/>
    </row>
    <row r="136">
      <c r="B136" s="34"/>
      <c r="G136" s="30"/>
      <c r="H136" s="30"/>
      <c r="K136" s="27"/>
    </row>
    <row r="137">
      <c r="B137" s="34"/>
      <c r="G137" s="30"/>
      <c r="H137" s="30"/>
      <c r="K137" s="27"/>
    </row>
    <row r="138">
      <c r="B138" s="34"/>
      <c r="G138" s="30"/>
      <c r="H138" s="30"/>
      <c r="K138" s="27"/>
    </row>
    <row r="139">
      <c r="B139" s="34"/>
      <c r="G139" s="30"/>
      <c r="H139" s="30"/>
      <c r="K139" s="27"/>
    </row>
    <row r="140">
      <c r="B140" s="34"/>
      <c r="G140" s="30"/>
      <c r="H140" s="30"/>
      <c r="K140" s="27"/>
    </row>
    <row r="141">
      <c r="B141" s="34"/>
      <c r="G141" s="30"/>
      <c r="H141" s="30"/>
      <c r="K141" s="27"/>
    </row>
    <row r="142">
      <c r="B142" s="34"/>
      <c r="G142" s="30"/>
      <c r="H142" s="30"/>
      <c r="K142" s="27"/>
    </row>
    <row r="143">
      <c r="B143" s="34"/>
      <c r="G143" s="30"/>
      <c r="H143" s="30"/>
      <c r="K143" s="27"/>
    </row>
    <row r="144">
      <c r="B144" s="34"/>
      <c r="G144" s="30"/>
      <c r="H144" s="30"/>
      <c r="K144" s="27"/>
    </row>
    <row r="145">
      <c r="B145" s="34"/>
      <c r="G145" s="30"/>
      <c r="H145" s="30"/>
      <c r="K145" s="27"/>
    </row>
    <row r="146">
      <c r="B146" s="34"/>
      <c r="G146" s="30"/>
      <c r="H146" s="30"/>
      <c r="K146" s="27"/>
    </row>
    <row r="147">
      <c r="B147" s="34"/>
      <c r="G147" s="30"/>
      <c r="H147" s="30"/>
      <c r="K147" s="27"/>
    </row>
    <row r="148">
      <c r="B148" s="34"/>
      <c r="G148" s="30"/>
      <c r="H148" s="30"/>
      <c r="K148" s="27"/>
    </row>
    <row r="149">
      <c r="B149" s="34"/>
      <c r="G149" s="30"/>
      <c r="H149" s="30"/>
      <c r="K149" s="27"/>
    </row>
    <row r="150">
      <c r="B150" s="34"/>
      <c r="G150" s="30"/>
      <c r="H150" s="30"/>
      <c r="K150" s="27"/>
    </row>
    <row r="151">
      <c r="B151" s="34"/>
      <c r="G151" s="30"/>
      <c r="H151" s="30"/>
      <c r="K151" s="27"/>
    </row>
    <row r="152">
      <c r="B152" s="34"/>
      <c r="G152" s="30"/>
      <c r="H152" s="30"/>
      <c r="K152" s="27"/>
    </row>
    <row r="153">
      <c r="B153" s="34"/>
      <c r="G153" s="30"/>
      <c r="H153" s="30"/>
      <c r="K153" s="27"/>
    </row>
    <row r="154">
      <c r="B154" s="34"/>
      <c r="G154" s="30"/>
      <c r="H154" s="30"/>
      <c r="K154" s="27"/>
    </row>
    <row r="155">
      <c r="B155" s="34"/>
      <c r="G155" s="30"/>
      <c r="H155" s="30"/>
      <c r="K155" s="27"/>
    </row>
    <row r="156">
      <c r="B156" s="34"/>
      <c r="G156" s="30"/>
      <c r="H156" s="30"/>
      <c r="K156" s="27"/>
    </row>
    <row r="157">
      <c r="B157" s="34"/>
      <c r="G157" s="30"/>
      <c r="H157" s="30"/>
      <c r="K157" s="27"/>
    </row>
    <row r="158">
      <c r="B158" s="34"/>
      <c r="G158" s="30"/>
      <c r="H158" s="30"/>
      <c r="K158" s="27"/>
    </row>
    <row r="159">
      <c r="B159" s="34"/>
      <c r="G159" s="30"/>
      <c r="H159" s="30"/>
      <c r="K159" s="27"/>
    </row>
    <row r="160">
      <c r="B160" s="34"/>
      <c r="G160" s="30"/>
      <c r="H160" s="30"/>
      <c r="K160" s="27"/>
    </row>
    <row r="161">
      <c r="B161" s="34"/>
      <c r="G161" s="30"/>
      <c r="H161" s="30"/>
      <c r="K161" s="27"/>
    </row>
    <row r="162">
      <c r="B162" s="34"/>
      <c r="G162" s="30"/>
      <c r="H162" s="30"/>
      <c r="K162" s="27"/>
    </row>
    <row r="163">
      <c r="B163" s="34"/>
      <c r="G163" s="30"/>
      <c r="H163" s="30"/>
      <c r="K163" s="27"/>
    </row>
    <row r="164">
      <c r="B164" s="34"/>
      <c r="G164" s="30"/>
      <c r="H164" s="30"/>
      <c r="K164" s="27"/>
    </row>
    <row r="165">
      <c r="B165" s="34"/>
      <c r="G165" s="30"/>
      <c r="H165" s="30"/>
      <c r="K165" s="27"/>
    </row>
    <row r="166">
      <c r="B166" s="34"/>
      <c r="G166" s="30"/>
      <c r="H166" s="30"/>
      <c r="K166" s="27"/>
    </row>
    <row r="167">
      <c r="B167" s="34"/>
      <c r="G167" s="30"/>
      <c r="H167" s="30"/>
      <c r="K167" s="27"/>
    </row>
    <row r="168">
      <c r="B168" s="34"/>
      <c r="G168" s="30"/>
      <c r="H168" s="30"/>
      <c r="K168" s="27"/>
    </row>
    <row r="169">
      <c r="B169" s="34"/>
      <c r="G169" s="30"/>
      <c r="H169" s="30"/>
      <c r="K169" s="27"/>
    </row>
    <row r="170">
      <c r="B170" s="34"/>
      <c r="G170" s="30"/>
      <c r="H170" s="30"/>
      <c r="K170" s="27"/>
    </row>
    <row r="171">
      <c r="B171" s="34"/>
      <c r="G171" s="30"/>
      <c r="H171" s="30"/>
      <c r="K171" s="27"/>
    </row>
    <row r="172">
      <c r="B172" s="34"/>
      <c r="G172" s="30"/>
      <c r="H172" s="30"/>
      <c r="K172" s="27"/>
    </row>
    <row r="173">
      <c r="B173" s="34"/>
      <c r="G173" s="30"/>
      <c r="H173" s="30"/>
      <c r="K173" s="27"/>
    </row>
    <row r="174">
      <c r="B174" s="34"/>
      <c r="G174" s="30"/>
      <c r="H174" s="30"/>
      <c r="K174" s="27"/>
    </row>
    <row r="175">
      <c r="B175" s="34"/>
      <c r="G175" s="30"/>
      <c r="H175" s="30"/>
      <c r="K175" s="27"/>
    </row>
    <row r="176">
      <c r="B176" s="34"/>
      <c r="G176" s="30"/>
      <c r="H176" s="30"/>
      <c r="K176" s="27"/>
    </row>
    <row r="177">
      <c r="B177" s="34"/>
      <c r="G177" s="30"/>
      <c r="H177" s="30"/>
      <c r="K177" s="27"/>
    </row>
    <row r="178">
      <c r="B178" s="34"/>
      <c r="G178" s="30"/>
      <c r="H178" s="30"/>
      <c r="K178" s="27"/>
    </row>
    <row r="179">
      <c r="B179" s="34"/>
      <c r="G179" s="30"/>
      <c r="H179" s="30"/>
      <c r="K179" s="27"/>
    </row>
    <row r="180">
      <c r="B180" s="34"/>
      <c r="G180" s="30"/>
      <c r="H180" s="30"/>
      <c r="K180" s="27"/>
    </row>
    <row r="181">
      <c r="B181" s="34"/>
      <c r="G181" s="30"/>
      <c r="H181" s="30"/>
      <c r="K181" s="27"/>
    </row>
    <row r="182">
      <c r="B182" s="34"/>
      <c r="G182" s="30"/>
      <c r="H182" s="30"/>
      <c r="K182" s="27"/>
    </row>
    <row r="183">
      <c r="B183" s="34"/>
      <c r="G183" s="30"/>
      <c r="H183" s="30"/>
      <c r="K183" s="27"/>
    </row>
    <row r="184">
      <c r="B184" s="34"/>
      <c r="G184" s="30"/>
      <c r="H184" s="30"/>
      <c r="K184" s="27"/>
    </row>
    <row r="185">
      <c r="B185" s="34"/>
      <c r="G185" s="30"/>
      <c r="H185" s="30"/>
      <c r="K185" s="27"/>
    </row>
    <row r="186">
      <c r="B186" s="34"/>
      <c r="G186" s="30"/>
      <c r="H186" s="30"/>
      <c r="K186" s="27"/>
    </row>
    <row r="187">
      <c r="B187" s="34"/>
      <c r="G187" s="30"/>
      <c r="H187" s="30"/>
      <c r="K187" s="27"/>
    </row>
    <row r="188">
      <c r="B188" s="34"/>
      <c r="G188" s="30"/>
      <c r="H188" s="30"/>
      <c r="K188" s="27"/>
    </row>
    <row r="189">
      <c r="B189" s="34"/>
      <c r="G189" s="30"/>
      <c r="H189" s="30"/>
      <c r="K189" s="27"/>
    </row>
    <row r="190">
      <c r="B190" s="34"/>
      <c r="G190" s="30"/>
      <c r="H190" s="30"/>
      <c r="K190" s="27"/>
    </row>
    <row r="191">
      <c r="B191" s="34"/>
      <c r="G191" s="30"/>
      <c r="H191" s="30"/>
      <c r="K191" s="27"/>
    </row>
    <row r="192">
      <c r="B192" s="34"/>
      <c r="G192" s="30"/>
      <c r="H192" s="30"/>
      <c r="K192" s="27"/>
    </row>
    <row r="193">
      <c r="B193" s="34"/>
      <c r="G193" s="30"/>
      <c r="H193" s="30"/>
      <c r="K193" s="27"/>
    </row>
    <row r="194">
      <c r="B194" s="34"/>
      <c r="G194" s="30"/>
      <c r="H194" s="30"/>
      <c r="K194" s="27"/>
    </row>
    <row r="195">
      <c r="B195" s="34"/>
      <c r="G195" s="30"/>
      <c r="H195" s="30"/>
      <c r="K195" s="27"/>
    </row>
    <row r="196">
      <c r="B196" s="34"/>
      <c r="G196" s="30"/>
      <c r="H196" s="30"/>
      <c r="K196" s="27"/>
    </row>
    <row r="197">
      <c r="B197" s="34"/>
      <c r="G197" s="30"/>
      <c r="H197" s="30"/>
      <c r="K197" s="27"/>
    </row>
    <row r="198">
      <c r="B198" s="34"/>
      <c r="G198" s="30"/>
      <c r="H198" s="30"/>
      <c r="K198" s="27"/>
    </row>
    <row r="199">
      <c r="B199" s="34"/>
      <c r="G199" s="30"/>
      <c r="H199" s="30"/>
      <c r="K199" s="27"/>
    </row>
    <row r="200">
      <c r="B200" s="34"/>
      <c r="G200" s="30"/>
      <c r="H200" s="30"/>
      <c r="K200" s="27"/>
    </row>
    <row r="201">
      <c r="B201" s="34"/>
      <c r="G201" s="30"/>
      <c r="H201" s="30"/>
      <c r="K201" s="27"/>
    </row>
    <row r="202">
      <c r="B202" s="34"/>
      <c r="G202" s="30"/>
      <c r="H202" s="30"/>
      <c r="K202" s="27"/>
    </row>
    <row r="203">
      <c r="B203" s="34"/>
      <c r="G203" s="30"/>
      <c r="H203" s="30"/>
      <c r="K203" s="27"/>
    </row>
    <row r="204">
      <c r="B204" s="34"/>
      <c r="G204" s="30"/>
      <c r="H204" s="30"/>
      <c r="K204" s="27"/>
    </row>
    <row r="205">
      <c r="B205" s="34"/>
      <c r="G205" s="30"/>
      <c r="H205" s="30"/>
      <c r="K205" s="27"/>
    </row>
    <row r="206">
      <c r="B206" s="34"/>
      <c r="G206" s="30"/>
      <c r="H206" s="30"/>
      <c r="K206" s="27"/>
    </row>
    <row r="207">
      <c r="B207" s="34"/>
      <c r="G207" s="30"/>
      <c r="H207" s="30"/>
      <c r="K207" s="27"/>
    </row>
    <row r="208">
      <c r="B208" s="34"/>
      <c r="G208" s="30"/>
      <c r="H208" s="30"/>
      <c r="K208" s="27"/>
    </row>
    <row r="209">
      <c r="B209" s="34"/>
      <c r="G209" s="30"/>
      <c r="H209" s="30"/>
      <c r="K209" s="27"/>
    </row>
    <row r="210">
      <c r="B210" s="34"/>
      <c r="G210" s="30"/>
      <c r="H210" s="30"/>
      <c r="K210" s="27"/>
    </row>
    <row r="211">
      <c r="B211" s="34"/>
      <c r="G211" s="30"/>
      <c r="H211" s="30"/>
      <c r="K211" s="27"/>
    </row>
    <row r="212">
      <c r="B212" s="34"/>
      <c r="G212" s="30"/>
      <c r="H212" s="30"/>
      <c r="K212" s="27"/>
    </row>
    <row r="213">
      <c r="B213" s="34"/>
      <c r="G213" s="30"/>
      <c r="H213" s="30"/>
      <c r="K213" s="27"/>
    </row>
    <row r="214">
      <c r="B214" s="34"/>
      <c r="G214" s="30"/>
      <c r="H214" s="30"/>
      <c r="K214" s="27"/>
    </row>
    <row r="215">
      <c r="B215" s="34"/>
      <c r="G215" s="30"/>
      <c r="H215" s="30"/>
      <c r="K215" s="27"/>
    </row>
    <row r="216">
      <c r="B216" s="34"/>
      <c r="G216" s="30"/>
      <c r="H216" s="30"/>
      <c r="K216" s="27"/>
    </row>
    <row r="217">
      <c r="B217" s="34"/>
      <c r="G217" s="30"/>
      <c r="H217" s="30"/>
      <c r="K217" s="27"/>
    </row>
    <row r="218">
      <c r="B218" s="34"/>
      <c r="G218" s="30"/>
      <c r="H218" s="30"/>
      <c r="K218" s="27"/>
    </row>
    <row r="219">
      <c r="B219" s="34"/>
      <c r="G219" s="30"/>
      <c r="H219" s="30"/>
      <c r="K219" s="27"/>
    </row>
    <row r="220">
      <c r="B220" s="34"/>
      <c r="G220" s="30"/>
      <c r="H220" s="30"/>
      <c r="K220" s="27"/>
    </row>
    <row r="221">
      <c r="B221" s="34"/>
      <c r="G221" s="30"/>
      <c r="H221" s="30"/>
      <c r="K221" s="27"/>
    </row>
    <row r="222">
      <c r="B222" s="34"/>
      <c r="G222" s="30"/>
      <c r="H222" s="30"/>
      <c r="K222" s="27"/>
    </row>
    <row r="223">
      <c r="B223" s="34"/>
      <c r="G223" s="30"/>
      <c r="H223" s="30"/>
      <c r="K223" s="27"/>
    </row>
    <row r="224">
      <c r="B224" s="34"/>
      <c r="G224" s="30"/>
      <c r="H224" s="30"/>
      <c r="K224" s="27"/>
    </row>
    <row r="225">
      <c r="B225" s="34"/>
      <c r="G225" s="30"/>
      <c r="H225" s="30"/>
      <c r="K225" s="27"/>
    </row>
    <row r="226">
      <c r="B226" s="34"/>
      <c r="G226" s="30"/>
      <c r="H226" s="30"/>
      <c r="K226" s="27"/>
    </row>
    <row r="227">
      <c r="B227" s="34"/>
      <c r="G227" s="30"/>
      <c r="H227" s="30"/>
      <c r="K227" s="27"/>
    </row>
    <row r="228">
      <c r="B228" s="34"/>
      <c r="G228" s="30"/>
      <c r="H228" s="30"/>
      <c r="K228" s="27"/>
    </row>
    <row r="229">
      <c r="B229" s="34"/>
      <c r="G229" s="30"/>
      <c r="H229" s="30"/>
      <c r="K229" s="27"/>
    </row>
    <row r="230">
      <c r="B230" s="34"/>
      <c r="G230" s="30"/>
      <c r="H230" s="30"/>
      <c r="K230" s="27"/>
    </row>
    <row r="231">
      <c r="B231" s="34"/>
      <c r="G231" s="30"/>
      <c r="H231" s="30"/>
      <c r="K231" s="27"/>
    </row>
    <row r="232">
      <c r="B232" s="34"/>
      <c r="G232" s="30"/>
      <c r="H232" s="30"/>
      <c r="K232" s="27"/>
    </row>
    <row r="233">
      <c r="B233" s="34"/>
      <c r="G233" s="30"/>
      <c r="H233" s="30"/>
      <c r="K233" s="27"/>
    </row>
    <row r="234">
      <c r="B234" s="34"/>
      <c r="G234" s="30"/>
      <c r="H234" s="30"/>
      <c r="K234" s="27"/>
    </row>
    <row r="235">
      <c r="B235" s="34"/>
      <c r="G235" s="30"/>
      <c r="H235" s="30"/>
      <c r="K235" s="27"/>
    </row>
    <row r="236">
      <c r="B236" s="34"/>
      <c r="G236" s="30"/>
      <c r="H236" s="30"/>
      <c r="K236" s="27"/>
    </row>
    <row r="237">
      <c r="B237" s="34"/>
      <c r="G237" s="30"/>
      <c r="H237" s="30"/>
      <c r="K237" s="27"/>
    </row>
    <row r="238">
      <c r="B238" s="34"/>
      <c r="G238" s="30"/>
      <c r="H238" s="30"/>
      <c r="K238" s="27"/>
    </row>
    <row r="239">
      <c r="B239" s="34"/>
      <c r="G239" s="30"/>
      <c r="H239" s="30"/>
      <c r="K239" s="27"/>
    </row>
    <row r="240">
      <c r="B240" s="34"/>
      <c r="G240" s="30"/>
      <c r="H240" s="30"/>
      <c r="K240" s="27"/>
    </row>
    <row r="241">
      <c r="B241" s="34"/>
      <c r="G241" s="30"/>
      <c r="H241" s="30"/>
      <c r="K241" s="27"/>
    </row>
    <row r="242">
      <c r="B242" s="34"/>
      <c r="G242" s="30"/>
      <c r="H242" s="30"/>
      <c r="K242" s="27"/>
    </row>
    <row r="243">
      <c r="B243" s="34"/>
      <c r="G243" s="30"/>
      <c r="H243" s="30"/>
      <c r="K243" s="27"/>
    </row>
    <row r="244">
      <c r="B244" s="34"/>
      <c r="G244" s="30"/>
      <c r="H244" s="30"/>
      <c r="K244" s="27"/>
    </row>
    <row r="245">
      <c r="B245" s="34"/>
      <c r="G245" s="30"/>
      <c r="H245" s="30"/>
      <c r="K245" s="27"/>
    </row>
    <row r="246">
      <c r="B246" s="34"/>
      <c r="G246" s="30"/>
      <c r="H246" s="30"/>
      <c r="K246" s="27"/>
    </row>
    <row r="247">
      <c r="B247" s="34"/>
      <c r="G247" s="30"/>
      <c r="H247" s="30"/>
      <c r="K247" s="27"/>
    </row>
    <row r="248">
      <c r="B248" s="34"/>
      <c r="G248" s="30"/>
      <c r="H248" s="30"/>
      <c r="K248" s="27"/>
    </row>
    <row r="249">
      <c r="B249" s="34"/>
      <c r="G249" s="30"/>
      <c r="H249" s="30"/>
      <c r="K249" s="27"/>
    </row>
    <row r="250">
      <c r="B250" s="34"/>
      <c r="G250" s="30"/>
      <c r="H250" s="30"/>
      <c r="K250" s="27"/>
    </row>
    <row r="251">
      <c r="B251" s="34"/>
      <c r="G251" s="30"/>
      <c r="H251" s="30"/>
      <c r="K251" s="27"/>
    </row>
    <row r="252">
      <c r="B252" s="34"/>
      <c r="G252" s="30"/>
      <c r="H252" s="30"/>
      <c r="K252" s="27"/>
    </row>
    <row r="253">
      <c r="B253" s="34"/>
      <c r="G253" s="30"/>
      <c r="H253" s="30"/>
      <c r="K253" s="27"/>
    </row>
    <row r="254">
      <c r="B254" s="34"/>
      <c r="G254" s="30"/>
      <c r="H254" s="30"/>
      <c r="K254" s="27"/>
    </row>
    <row r="255">
      <c r="B255" s="34"/>
      <c r="G255" s="30"/>
      <c r="H255" s="30"/>
      <c r="K255" s="27"/>
    </row>
    <row r="256">
      <c r="B256" s="34"/>
      <c r="G256" s="30"/>
      <c r="H256" s="30"/>
      <c r="K256" s="27"/>
    </row>
    <row r="257">
      <c r="B257" s="34"/>
      <c r="G257" s="30"/>
      <c r="H257" s="30"/>
      <c r="K257" s="27"/>
    </row>
    <row r="258">
      <c r="B258" s="34"/>
      <c r="G258" s="30"/>
      <c r="H258" s="30"/>
      <c r="K258" s="27"/>
    </row>
    <row r="259">
      <c r="B259" s="34"/>
      <c r="G259" s="30"/>
      <c r="H259" s="30"/>
      <c r="K259" s="27"/>
    </row>
    <row r="260">
      <c r="B260" s="34"/>
      <c r="G260" s="30"/>
      <c r="H260" s="30"/>
      <c r="K260" s="27"/>
    </row>
    <row r="261">
      <c r="B261" s="34"/>
      <c r="G261" s="30"/>
      <c r="H261" s="30"/>
      <c r="K261" s="27"/>
    </row>
    <row r="262">
      <c r="B262" s="34"/>
      <c r="G262" s="30"/>
      <c r="H262" s="30"/>
      <c r="K262" s="27"/>
    </row>
    <row r="263">
      <c r="B263" s="34"/>
      <c r="G263" s="30"/>
      <c r="H263" s="30"/>
      <c r="K263" s="27"/>
    </row>
    <row r="264">
      <c r="B264" s="34"/>
      <c r="G264" s="30"/>
      <c r="H264" s="30"/>
      <c r="K264" s="27"/>
    </row>
    <row r="265">
      <c r="B265" s="34"/>
      <c r="G265" s="30"/>
      <c r="H265" s="30"/>
      <c r="K265" s="27"/>
    </row>
    <row r="266">
      <c r="B266" s="34"/>
      <c r="G266" s="30"/>
      <c r="H266" s="30"/>
      <c r="K266" s="27"/>
    </row>
    <row r="267">
      <c r="B267" s="34"/>
      <c r="G267" s="30"/>
      <c r="H267" s="30"/>
      <c r="K267" s="27"/>
    </row>
    <row r="268">
      <c r="B268" s="34"/>
      <c r="G268" s="30"/>
      <c r="H268" s="30"/>
      <c r="K268" s="27"/>
    </row>
    <row r="269">
      <c r="B269" s="34"/>
      <c r="G269" s="30"/>
      <c r="H269" s="30"/>
      <c r="K269" s="27"/>
    </row>
    <row r="270">
      <c r="B270" s="34"/>
      <c r="G270" s="30"/>
      <c r="H270" s="30"/>
      <c r="K270" s="27"/>
    </row>
    <row r="271">
      <c r="B271" s="34"/>
      <c r="G271" s="30"/>
      <c r="H271" s="30"/>
      <c r="K271" s="27"/>
    </row>
    <row r="272">
      <c r="B272" s="34"/>
      <c r="G272" s="30"/>
      <c r="H272" s="30"/>
      <c r="K272" s="27"/>
    </row>
    <row r="273">
      <c r="B273" s="34"/>
      <c r="G273" s="30"/>
      <c r="H273" s="30"/>
      <c r="K273" s="27"/>
    </row>
    <row r="274">
      <c r="B274" s="34"/>
      <c r="G274" s="30"/>
      <c r="H274" s="30"/>
      <c r="K274" s="27"/>
    </row>
    <row r="275">
      <c r="B275" s="34"/>
      <c r="G275" s="30"/>
      <c r="H275" s="30"/>
      <c r="K275" s="27"/>
    </row>
    <row r="276">
      <c r="B276" s="34"/>
      <c r="G276" s="30"/>
      <c r="H276" s="30"/>
      <c r="K276" s="27"/>
    </row>
    <row r="277">
      <c r="B277" s="34"/>
      <c r="G277" s="30"/>
      <c r="H277" s="30"/>
      <c r="K277" s="27"/>
    </row>
    <row r="278">
      <c r="B278" s="34"/>
      <c r="G278" s="30"/>
      <c r="H278" s="30"/>
      <c r="K278" s="27"/>
    </row>
    <row r="279">
      <c r="B279" s="34"/>
      <c r="G279" s="30"/>
      <c r="H279" s="30"/>
      <c r="K279" s="27"/>
    </row>
    <row r="280">
      <c r="B280" s="34"/>
      <c r="G280" s="30"/>
      <c r="H280" s="30"/>
      <c r="K280" s="27"/>
    </row>
    <row r="281">
      <c r="B281" s="34"/>
      <c r="G281" s="30"/>
      <c r="H281" s="30"/>
      <c r="K281" s="27"/>
    </row>
    <row r="282">
      <c r="B282" s="34"/>
      <c r="G282" s="30"/>
      <c r="H282" s="30"/>
      <c r="K282" s="27"/>
    </row>
    <row r="283">
      <c r="B283" s="34"/>
      <c r="G283" s="30"/>
      <c r="H283" s="30"/>
      <c r="K283" s="27"/>
    </row>
    <row r="284">
      <c r="B284" s="34"/>
      <c r="G284" s="30"/>
      <c r="H284" s="30"/>
      <c r="K284" s="27"/>
    </row>
    <row r="285">
      <c r="B285" s="34"/>
      <c r="G285" s="30"/>
      <c r="H285" s="30"/>
      <c r="K285" s="27"/>
    </row>
    <row r="286">
      <c r="B286" s="34"/>
      <c r="G286" s="30"/>
      <c r="H286" s="30"/>
      <c r="K286" s="27"/>
    </row>
    <row r="287">
      <c r="B287" s="34"/>
      <c r="G287" s="30"/>
      <c r="H287" s="30"/>
      <c r="K287" s="27"/>
    </row>
    <row r="288">
      <c r="B288" s="34"/>
      <c r="G288" s="30"/>
      <c r="H288" s="30"/>
      <c r="K288" s="27"/>
    </row>
    <row r="289">
      <c r="B289" s="34"/>
      <c r="G289" s="30"/>
      <c r="H289" s="30"/>
      <c r="K289" s="27"/>
    </row>
    <row r="290">
      <c r="B290" s="34"/>
      <c r="G290" s="30"/>
      <c r="H290" s="30"/>
      <c r="K290" s="27"/>
    </row>
    <row r="291">
      <c r="B291" s="34"/>
      <c r="G291" s="30"/>
      <c r="H291" s="30"/>
      <c r="K291" s="27"/>
    </row>
    <row r="292">
      <c r="B292" s="34"/>
      <c r="G292" s="30"/>
      <c r="H292" s="30"/>
      <c r="K292" s="27"/>
    </row>
    <row r="293">
      <c r="B293" s="34"/>
      <c r="G293" s="30"/>
      <c r="H293" s="30"/>
      <c r="K293" s="27"/>
    </row>
    <row r="294">
      <c r="B294" s="34"/>
      <c r="G294" s="30"/>
      <c r="H294" s="30"/>
      <c r="K294" s="27"/>
    </row>
    <row r="295">
      <c r="B295" s="34"/>
      <c r="G295" s="30"/>
      <c r="H295" s="30"/>
      <c r="K295" s="27"/>
    </row>
    <row r="296">
      <c r="B296" s="34"/>
      <c r="G296" s="30"/>
      <c r="H296" s="30"/>
      <c r="K296" s="27"/>
    </row>
    <row r="297">
      <c r="B297" s="34"/>
      <c r="G297" s="30"/>
      <c r="H297" s="30"/>
      <c r="K297" s="27"/>
    </row>
    <row r="298">
      <c r="B298" s="34"/>
      <c r="G298" s="30"/>
      <c r="H298" s="30"/>
      <c r="K298" s="27"/>
    </row>
    <row r="299">
      <c r="B299" s="34"/>
      <c r="G299" s="30"/>
      <c r="H299" s="30"/>
      <c r="K299" s="27"/>
    </row>
    <row r="300">
      <c r="B300" s="34"/>
      <c r="G300" s="30"/>
      <c r="H300" s="30"/>
      <c r="K300" s="27"/>
    </row>
    <row r="301">
      <c r="B301" s="34"/>
      <c r="G301" s="30"/>
      <c r="H301" s="30"/>
      <c r="K301" s="27"/>
    </row>
    <row r="302">
      <c r="B302" s="34"/>
      <c r="G302" s="30"/>
      <c r="H302" s="30"/>
      <c r="K302" s="27"/>
    </row>
    <row r="303">
      <c r="B303" s="34"/>
      <c r="G303" s="30"/>
      <c r="H303" s="30"/>
      <c r="K303" s="27"/>
    </row>
    <row r="304">
      <c r="B304" s="34"/>
      <c r="G304" s="30"/>
      <c r="H304" s="30"/>
      <c r="K304" s="27"/>
    </row>
    <row r="305">
      <c r="B305" s="34"/>
      <c r="G305" s="30"/>
      <c r="H305" s="30"/>
      <c r="K305" s="27"/>
    </row>
    <row r="306">
      <c r="B306" s="34"/>
      <c r="G306" s="30"/>
      <c r="H306" s="30"/>
      <c r="K306" s="27"/>
    </row>
    <row r="307">
      <c r="B307" s="34"/>
      <c r="G307" s="30"/>
      <c r="H307" s="30"/>
      <c r="K307" s="27"/>
    </row>
    <row r="308">
      <c r="B308" s="34"/>
      <c r="G308" s="30"/>
      <c r="H308" s="30"/>
      <c r="K308" s="27"/>
    </row>
    <row r="309">
      <c r="B309" s="34"/>
      <c r="G309" s="30"/>
      <c r="H309" s="30"/>
      <c r="K309" s="27"/>
    </row>
    <row r="310">
      <c r="B310" s="34"/>
      <c r="G310" s="30"/>
      <c r="H310" s="30"/>
      <c r="K310" s="27"/>
    </row>
    <row r="311">
      <c r="B311" s="34"/>
      <c r="G311" s="30"/>
      <c r="H311" s="30"/>
      <c r="K311" s="27"/>
    </row>
    <row r="312">
      <c r="B312" s="34"/>
      <c r="G312" s="30"/>
      <c r="H312" s="30"/>
      <c r="K312" s="27"/>
    </row>
    <row r="313">
      <c r="B313" s="34"/>
      <c r="G313" s="30"/>
      <c r="H313" s="30"/>
      <c r="K313" s="27"/>
    </row>
    <row r="314">
      <c r="B314" s="34"/>
      <c r="G314" s="30"/>
      <c r="H314" s="30"/>
      <c r="K314" s="27"/>
    </row>
    <row r="315">
      <c r="B315" s="34"/>
      <c r="G315" s="30"/>
      <c r="H315" s="30"/>
      <c r="K315" s="27"/>
    </row>
    <row r="316">
      <c r="B316" s="34"/>
      <c r="G316" s="30"/>
      <c r="H316" s="30"/>
      <c r="K316" s="27"/>
    </row>
    <row r="317">
      <c r="B317" s="34"/>
      <c r="G317" s="30"/>
      <c r="H317" s="30"/>
      <c r="K317" s="27"/>
    </row>
    <row r="318">
      <c r="B318" s="34"/>
      <c r="G318" s="30"/>
      <c r="H318" s="30"/>
      <c r="K318" s="27"/>
    </row>
    <row r="319">
      <c r="K319" s="27"/>
    </row>
    <row r="320">
      <c r="K320" s="27"/>
    </row>
    <row r="321">
      <c r="K321" s="27"/>
    </row>
    <row r="322">
      <c r="K322" s="27"/>
    </row>
    <row r="323">
      <c r="K323" s="27"/>
    </row>
    <row r="324">
      <c r="K324" s="27"/>
    </row>
    <row r="325">
      <c r="K325" s="27"/>
    </row>
    <row r="326">
      <c r="K326" s="27"/>
    </row>
    <row r="327">
      <c r="K327" s="27"/>
    </row>
    <row r="328">
      <c r="K328" s="27"/>
    </row>
    <row r="329">
      <c r="K329" s="27"/>
    </row>
    <row r="330">
      <c r="K330" s="27"/>
    </row>
    <row r="331">
      <c r="K331" s="27"/>
    </row>
    <row r="332">
      <c r="K332" s="27"/>
    </row>
    <row r="333">
      <c r="K333" s="27"/>
    </row>
    <row r="334">
      <c r="K334" s="27"/>
    </row>
    <row r="335">
      <c r="K335" s="27"/>
    </row>
    <row r="336">
      <c r="K336" s="27"/>
    </row>
    <row r="337">
      <c r="K337" s="27"/>
    </row>
    <row r="338">
      <c r="K338" s="27"/>
    </row>
    <row r="339">
      <c r="K339" s="27"/>
    </row>
    <row r="340">
      <c r="K340" s="27"/>
    </row>
    <row r="341">
      <c r="K341" s="27"/>
    </row>
    <row r="342">
      <c r="K342" s="27"/>
    </row>
    <row r="343">
      <c r="K343" s="27"/>
    </row>
    <row r="344">
      <c r="K344" s="27"/>
    </row>
    <row r="345">
      <c r="K345" s="27"/>
    </row>
    <row r="346">
      <c r="K346" s="27"/>
    </row>
    <row r="347">
      <c r="K347" s="27"/>
    </row>
    <row r="348">
      <c r="K348" s="27"/>
    </row>
    <row r="349">
      <c r="K349" s="27"/>
    </row>
    <row r="350">
      <c r="K350" s="27"/>
    </row>
    <row r="351">
      <c r="K351" s="27"/>
    </row>
    <row r="352">
      <c r="K352" s="27"/>
    </row>
    <row r="353">
      <c r="K353" s="27"/>
    </row>
    <row r="354">
      <c r="K354" s="27"/>
    </row>
    <row r="355">
      <c r="K355" s="27"/>
    </row>
    <row r="356">
      <c r="K356" s="27"/>
    </row>
    <row r="357">
      <c r="K357" s="27"/>
    </row>
    <row r="358">
      <c r="K358" s="27"/>
    </row>
    <row r="359">
      <c r="K359" s="27"/>
    </row>
    <row r="360">
      <c r="K360" s="27"/>
    </row>
    <row r="361">
      <c r="K361" s="27"/>
    </row>
    <row r="362">
      <c r="K362" s="27"/>
    </row>
    <row r="363">
      <c r="K363" s="27"/>
    </row>
    <row r="364">
      <c r="K364" s="27"/>
    </row>
    <row r="365">
      <c r="K365" s="27"/>
    </row>
    <row r="366">
      <c r="K366" s="27"/>
    </row>
    <row r="367">
      <c r="K367" s="27"/>
    </row>
    <row r="368">
      <c r="K368" s="27"/>
    </row>
    <row r="369">
      <c r="K369" s="27"/>
    </row>
    <row r="370">
      <c r="K370" s="27"/>
    </row>
    <row r="371">
      <c r="K371" s="27"/>
    </row>
    <row r="372">
      <c r="K372" s="27"/>
    </row>
    <row r="373">
      <c r="K373" s="27"/>
    </row>
    <row r="374">
      <c r="K374" s="27"/>
    </row>
    <row r="375">
      <c r="K375" s="27"/>
    </row>
    <row r="376">
      <c r="K376" s="27"/>
    </row>
    <row r="377">
      <c r="K377" s="27"/>
    </row>
    <row r="378">
      <c r="K378" s="27"/>
    </row>
    <row r="379">
      <c r="K379" s="27"/>
    </row>
    <row r="380">
      <c r="K380" s="27"/>
    </row>
    <row r="381">
      <c r="K381" s="27"/>
    </row>
    <row r="382">
      <c r="K382" s="27"/>
    </row>
    <row r="383">
      <c r="K383" s="27"/>
    </row>
    <row r="384">
      <c r="K384" s="27"/>
    </row>
    <row r="385">
      <c r="K385" s="27"/>
    </row>
    <row r="386">
      <c r="K386" s="27"/>
    </row>
    <row r="387">
      <c r="K387" s="27"/>
    </row>
    <row r="388">
      <c r="K388" s="27"/>
    </row>
    <row r="389">
      <c r="K389" s="27"/>
    </row>
    <row r="390">
      <c r="K390" s="27"/>
    </row>
    <row r="391">
      <c r="K391" s="27"/>
    </row>
    <row r="392">
      <c r="K392" s="27"/>
    </row>
    <row r="393">
      <c r="K393" s="27"/>
    </row>
    <row r="394">
      <c r="K394" s="27"/>
    </row>
    <row r="395">
      <c r="K395" s="27"/>
    </row>
    <row r="396">
      <c r="K396" s="27"/>
    </row>
    <row r="397">
      <c r="K397" s="27"/>
    </row>
    <row r="398">
      <c r="K398" s="27"/>
    </row>
    <row r="399">
      <c r="K399" s="27"/>
    </row>
    <row r="400">
      <c r="K400" s="27"/>
    </row>
    <row r="401">
      <c r="K401" s="27"/>
    </row>
    <row r="402">
      <c r="K402" s="27"/>
    </row>
    <row r="403">
      <c r="K403" s="27"/>
    </row>
    <row r="404">
      <c r="K404" s="27"/>
    </row>
    <row r="405">
      <c r="K405" s="27"/>
    </row>
    <row r="406">
      <c r="K406" s="27"/>
    </row>
    <row r="407">
      <c r="K407" s="27"/>
    </row>
    <row r="408">
      <c r="K408" s="27"/>
    </row>
    <row r="409">
      <c r="K409" s="27"/>
    </row>
    <row r="410">
      <c r="K410" s="27"/>
    </row>
    <row r="411">
      <c r="K411" s="27"/>
    </row>
    <row r="412">
      <c r="K412" s="27"/>
    </row>
    <row r="413">
      <c r="K413" s="27"/>
    </row>
    <row r="414">
      <c r="K414" s="27"/>
    </row>
    <row r="415">
      <c r="K415" s="27"/>
    </row>
    <row r="416">
      <c r="K416" s="27"/>
    </row>
    <row r="417">
      <c r="K417" s="27"/>
    </row>
    <row r="418">
      <c r="K418" s="27"/>
    </row>
    <row r="419">
      <c r="K419" s="27"/>
    </row>
    <row r="420">
      <c r="K420" s="27"/>
    </row>
    <row r="421">
      <c r="K421" s="27"/>
    </row>
    <row r="422">
      <c r="K422" s="27"/>
    </row>
    <row r="423">
      <c r="K423" s="27"/>
    </row>
    <row r="424">
      <c r="K424" s="27"/>
    </row>
    <row r="425">
      <c r="K425" s="27"/>
    </row>
    <row r="426">
      <c r="K426" s="27"/>
    </row>
    <row r="427">
      <c r="K427" s="27"/>
    </row>
    <row r="428">
      <c r="K428" s="27"/>
    </row>
    <row r="429">
      <c r="K429" s="27"/>
    </row>
    <row r="430">
      <c r="K430" s="27"/>
    </row>
    <row r="431">
      <c r="K431" s="27"/>
    </row>
    <row r="432">
      <c r="K432" s="27"/>
    </row>
    <row r="433">
      <c r="K433" s="27"/>
    </row>
    <row r="434">
      <c r="K434" s="27"/>
    </row>
    <row r="435">
      <c r="K435" s="27"/>
    </row>
    <row r="436">
      <c r="K436" s="27"/>
    </row>
    <row r="437">
      <c r="K437" s="27"/>
    </row>
    <row r="438">
      <c r="K438" s="27"/>
    </row>
    <row r="439">
      <c r="K439" s="27"/>
    </row>
    <row r="440">
      <c r="K440" s="27"/>
    </row>
    <row r="441">
      <c r="K441" s="27"/>
    </row>
    <row r="442">
      <c r="K442" s="27"/>
    </row>
    <row r="443">
      <c r="K443" s="27"/>
    </row>
    <row r="444">
      <c r="K444" s="27"/>
    </row>
    <row r="445">
      <c r="K445" s="27"/>
    </row>
    <row r="446">
      <c r="K446" s="27"/>
    </row>
    <row r="447">
      <c r="K447" s="27"/>
    </row>
    <row r="448">
      <c r="K448" s="27"/>
    </row>
    <row r="449">
      <c r="K449" s="27"/>
    </row>
    <row r="450">
      <c r="K450" s="27"/>
    </row>
    <row r="451">
      <c r="K451" s="27"/>
    </row>
    <row r="452">
      <c r="K452" s="27"/>
    </row>
    <row r="453">
      <c r="K453" s="27"/>
    </row>
    <row r="454">
      <c r="K454" s="27"/>
    </row>
    <row r="455">
      <c r="K455" s="27"/>
    </row>
    <row r="456">
      <c r="K456" s="27"/>
    </row>
    <row r="457">
      <c r="K457" s="27"/>
    </row>
    <row r="458">
      <c r="K458" s="27"/>
    </row>
    <row r="459">
      <c r="K459" s="27"/>
    </row>
    <row r="460">
      <c r="K460" s="27"/>
    </row>
    <row r="461">
      <c r="K461" s="27"/>
    </row>
    <row r="462">
      <c r="K462" s="27"/>
    </row>
    <row r="463">
      <c r="K463" s="27"/>
    </row>
    <row r="464">
      <c r="K464" s="27"/>
    </row>
    <row r="465">
      <c r="K465" s="27"/>
    </row>
    <row r="466">
      <c r="K466" s="27"/>
    </row>
    <row r="467">
      <c r="K467" s="27"/>
    </row>
    <row r="468">
      <c r="K468" s="27"/>
    </row>
    <row r="469">
      <c r="K469" s="27"/>
    </row>
    <row r="470">
      <c r="K470" s="27"/>
    </row>
    <row r="471">
      <c r="K471" s="27"/>
    </row>
    <row r="472">
      <c r="K472" s="27"/>
    </row>
    <row r="473">
      <c r="K473" s="27"/>
    </row>
    <row r="474">
      <c r="K474" s="27"/>
    </row>
    <row r="475">
      <c r="K475" s="27"/>
    </row>
    <row r="476">
      <c r="K476" s="27"/>
    </row>
    <row r="477">
      <c r="K477" s="27"/>
    </row>
    <row r="478">
      <c r="K478" s="27"/>
    </row>
    <row r="479">
      <c r="K479" s="27"/>
    </row>
    <row r="480">
      <c r="K480" s="27"/>
    </row>
    <row r="481">
      <c r="K481" s="27"/>
    </row>
    <row r="482">
      <c r="K482" s="27"/>
    </row>
    <row r="483">
      <c r="K483" s="27"/>
    </row>
    <row r="484">
      <c r="K484" s="27"/>
    </row>
    <row r="485">
      <c r="K485" s="27"/>
    </row>
    <row r="486">
      <c r="K486" s="27"/>
    </row>
    <row r="487">
      <c r="K487" s="27"/>
    </row>
    <row r="488">
      <c r="K488" s="27"/>
    </row>
    <row r="489">
      <c r="K489" s="27"/>
    </row>
    <row r="490">
      <c r="K490" s="27"/>
    </row>
    <row r="491">
      <c r="K491" s="27"/>
    </row>
    <row r="492">
      <c r="K492" s="27"/>
    </row>
    <row r="493">
      <c r="K493" s="27"/>
    </row>
    <row r="494">
      <c r="K494" s="27"/>
    </row>
    <row r="495">
      <c r="K495" s="27"/>
    </row>
    <row r="496">
      <c r="K496" s="27"/>
    </row>
    <row r="497">
      <c r="K497" s="27"/>
    </row>
    <row r="498">
      <c r="K498" s="27"/>
    </row>
    <row r="499">
      <c r="K499" s="27"/>
    </row>
    <row r="500">
      <c r="K500" s="27"/>
    </row>
    <row r="501">
      <c r="K501" s="27"/>
    </row>
    <row r="502">
      <c r="K502" s="27"/>
    </row>
    <row r="503">
      <c r="K503" s="27"/>
    </row>
    <row r="504">
      <c r="K504" s="27"/>
    </row>
    <row r="505">
      <c r="K505" s="27"/>
    </row>
    <row r="506">
      <c r="K506" s="27"/>
    </row>
    <row r="507">
      <c r="K507" s="27"/>
    </row>
    <row r="508">
      <c r="K508" s="27"/>
    </row>
    <row r="509">
      <c r="K509" s="27"/>
    </row>
    <row r="510">
      <c r="K510" s="27"/>
    </row>
    <row r="511">
      <c r="K511" s="27"/>
    </row>
    <row r="512">
      <c r="K512" s="27"/>
    </row>
    <row r="513">
      <c r="K513" s="27"/>
    </row>
    <row r="514">
      <c r="K514" s="27"/>
    </row>
    <row r="515">
      <c r="K515" s="27"/>
    </row>
    <row r="516">
      <c r="K516" s="27"/>
    </row>
    <row r="517">
      <c r="K517" s="27"/>
    </row>
    <row r="518">
      <c r="K518" s="27"/>
    </row>
    <row r="519">
      <c r="K519" s="27"/>
    </row>
    <row r="520">
      <c r="K520" s="27"/>
    </row>
    <row r="521">
      <c r="K521" s="27"/>
    </row>
    <row r="522">
      <c r="K522" s="27"/>
    </row>
    <row r="523">
      <c r="K523" s="27"/>
    </row>
    <row r="524">
      <c r="K524" s="27"/>
    </row>
    <row r="525">
      <c r="K525" s="27"/>
    </row>
    <row r="526">
      <c r="K526" s="27"/>
    </row>
    <row r="527">
      <c r="K527" s="27"/>
    </row>
    <row r="528">
      <c r="K528" s="27"/>
    </row>
    <row r="529">
      <c r="K529" s="27"/>
    </row>
    <row r="530">
      <c r="K530" s="27"/>
    </row>
    <row r="531">
      <c r="K531" s="27"/>
    </row>
    <row r="532">
      <c r="K532" s="27"/>
    </row>
    <row r="533">
      <c r="K533" s="27"/>
    </row>
    <row r="534">
      <c r="K534" s="27"/>
    </row>
    <row r="535">
      <c r="K535" s="27"/>
    </row>
    <row r="536">
      <c r="K536" s="27"/>
    </row>
    <row r="537">
      <c r="K537" s="27"/>
    </row>
    <row r="538">
      <c r="K538" s="27"/>
    </row>
    <row r="539">
      <c r="K539" s="27"/>
    </row>
    <row r="540">
      <c r="K540" s="27"/>
    </row>
    <row r="541">
      <c r="K541" s="27"/>
    </row>
    <row r="542">
      <c r="K542" s="27"/>
    </row>
    <row r="543">
      <c r="K543" s="27"/>
    </row>
    <row r="544">
      <c r="K544" s="27"/>
    </row>
    <row r="545">
      <c r="K545" s="27"/>
    </row>
    <row r="546">
      <c r="K546" s="27"/>
    </row>
    <row r="547">
      <c r="K547" s="27"/>
    </row>
    <row r="548">
      <c r="K548" s="27"/>
    </row>
    <row r="549">
      <c r="K549" s="27"/>
    </row>
    <row r="550">
      <c r="K550" s="27"/>
    </row>
    <row r="551">
      <c r="K551" s="27"/>
    </row>
    <row r="552">
      <c r="K552" s="27"/>
    </row>
    <row r="553">
      <c r="K553" s="27"/>
    </row>
    <row r="554">
      <c r="K554" s="27"/>
    </row>
    <row r="555">
      <c r="K555" s="27"/>
    </row>
    <row r="556">
      <c r="K556" s="27"/>
    </row>
    <row r="557">
      <c r="K557" s="27"/>
    </row>
    <row r="558">
      <c r="K558" s="27"/>
    </row>
    <row r="559">
      <c r="K559" s="27"/>
    </row>
    <row r="560">
      <c r="K560" s="27"/>
    </row>
    <row r="561">
      <c r="K561" s="27"/>
    </row>
    <row r="562">
      <c r="K562" s="27"/>
    </row>
    <row r="563">
      <c r="K563" s="27"/>
    </row>
    <row r="564">
      <c r="K564" s="27"/>
    </row>
    <row r="565">
      <c r="K565" s="27"/>
    </row>
    <row r="566">
      <c r="K566" s="27"/>
    </row>
    <row r="567">
      <c r="K567" s="27"/>
    </row>
    <row r="568">
      <c r="K568" s="27"/>
    </row>
    <row r="569">
      <c r="K569" s="27"/>
    </row>
    <row r="570">
      <c r="K570" s="27"/>
    </row>
    <row r="571">
      <c r="K571" s="27"/>
    </row>
    <row r="572">
      <c r="K572" s="27"/>
    </row>
    <row r="573">
      <c r="K573" s="27"/>
    </row>
    <row r="574">
      <c r="K574" s="27"/>
    </row>
    <row r="575">
      <c r="K575" s="27"/>
    </row>
    <row r="576">
      <c r="K576" s="27"/>
    </row>
    <row r="577">
      <c r="K577" s="27"/>
    </row>
    <row r="578">
      <c r="K578" s="27"/>
    </row>
    <row r="579">
      <c r="K579" s="27"/>
    </row>
    <row r="580">
      <c r="K580" s="27"/>
    </row>
    <row r="581">
      <c r="K581" s="27"/>
    </row>
    <row r="582">
      <c r="K582" s="27"/>
    </row>
    <row r="583">
      <c r="K583" s="27"/>
    </row>
    <row r="584">
      <c r="K584" s="27"/>
    </row>
    <row r="585">
      <c r="K585" s="27"/>
    </row>
    <row r="586">
      <c r="K586" s="27"/>
    </row>
    <row r="587">
      <c r="K587" s="27"/>
    </row>
    <row r="588">
      <c r="K588" s="27"/>
    </row>
    <row r="589">
      <c r="K589" s="27"/>
    </row>
    <row r="590">
      <c r="K590" s="27"/>
    </row>
    <row r="591">
      <c r="K591" s="27"/>
    </row>
    <row r="592">
      <c r="K592" s="27"/>
    </row>
    <row r="593">
      <c r="K593" s="27"/>
    </row>
    <row r="594">
      <c r="K594" s="27"/>
    </row>
    <row r="595">
      <c r="K595" s="27"/>
    </row>
    <row r="596">
      <c r="K596" s="27"/>
    </row>
    <row r="597">
      <c r="K597" s="27"/>
    </row>
    <row r="598">
      <c r="K598" s="27"/>
    </row>
    <row r="599">
      <c r="K599" s="27"/>
    </row>
    <row r="600">
      <c r="K600" s="27"/>
    </row>
    <row r="601">
      <c r="K601" s="27"/>
    </row>
    <row r="602">
      <c r="K602" s="27"/>
    </row>
    <row r="603">
      <c r="K603" s="27"/>
    </row>
    <row r="604">
      <c r="K604" s="27"/>
    </row>
    <row r="605">
      <c r="K605" s="27"/>
    </row>
    <row r="606">
      <c r="K606" s="27"/>
    </row>
    <row r="607">
      <c r="K607" s="27"/>
    </row>
    <row r="608">
      <c r="K608" s="27"/>
    </row>
    <row r="609">
      <c r="K609" s="27"/>
    </row>
    <row r="610">
      <c r="K610" s="27"/>
    </row>
    <row r="611">
      <c r="K611" s="27"/>
    </row>
    <row r="612">
      <c r="K612" s="27"/>
    </row>
    <row r="613">
      <c r="K613" s="27"/>
    </row>
    <row r="614">
      <c r="K614" s="27"/>
    </row>
    <row r="615">
      <c r="K615" s="27"/>
    </row>
    <row r="616">
      <c r="K616" s="27"/>
    </row>
    <row r="617">
      <c r="K617" s="27"/>
    </row>
    <row r="618">
      <c r="K618" s="27"/>
    </row>
    <row r="619">
      <c r="K619" s="27"/>
    </row>
    <row r="620">
      <c r="K620" s="27"/>
    </row>
    <row r="621">
      <c r="K621" s="27"/>
    </row>
    <row r="622">
      <c r="K622" s="27"/>
    </row>
    <row r="623">
      <c r="K623" s="27"/>
    </row>
    <row r="624">
      <c r="K624" s="27"/>
    </row>
    <row r="625">
      <c r="K625" s="27"/>
    </row>
    <row r="626">
      <c r="K626" s="27"/>
    </row>
    <row r="627">
      <c r="K627" s="27"/>
    </row>
    <row r="628">
      <c r="K628" s="27"/>
    </row>
    <row r="629">
      <c r="K629" s="27"/>
    </row>
    <row r="630">
      <c r="K630" s="27"/>
    </row>
    <row r="631">
      <c r="K631" s="27"/>
    </row>
    <row r="632">
      <c r="K632" s="27"/>
    </row>
    <row r="633">
      <c r="K633" s="27"/>
    </row>
    <row r="634">
      <c r="K634" s="27"/>
    </row>
    <row r="635">
      <c r="K635" s="27"/>
    </row>
    <row r="636">
      <c r="K636" s="27"/>
    </row>
    <row r="637">
      <c r="K637" s="27"/>
    </row>
    <row r="638">
      <c r="K638" s="27"/>
    </row>
    <row r="639">
      <c r="K639" s="27"/>
    </row>
    <row r="640">
      <c r="K640" s="27"/>
    </row>
    <row r="641">
      <c r="K641" s="27"/>
    </row>
    <row r="642">
      <c r="K642" s="27"/>
    </row>
    <row r="643">
      <c r="K643" s="27"/>
    </row>
    <row r="644">
      <c r="K644" s="27"/>
    </row>
    <row r="645">
      <c r="K645" s="27"/>
    </row>
    <row r="646">
      <c r="K646" s="27"/>
    </row>
    <row r="647">
      <c r="K647" s="27"/>
    </row>
    <row r="648">
      <c r="K648" s="27"/>
    </row>
    <row r="649">
      <c r="K649" s="27"/>
    </row>
    <row r="650">
      <c r="K650" s="27"/>
    </row>
    <row r="651">
      <c r="K651" s="27"/>
    </row>
    <row r="652">
      <c r="K652" s="27"/>
    </row>
    <row r="653">
      <c r="K653" s="27"/>
    </row>
    <row r="654">
      <c r="K654" s="27"/>
    </row>
    <row r="655">
      <c r="K655" s="27"/>
    </row>
    <row r="656">
      <c r="K656" s="27"/>
    </row>
    <row r="657">
      <c r="K657" s="27"/>
    </row>
    <row r="658">
      <c r="K658" s="27"/>
    </row>
    <row r="659">
      <c r="K659" s="27"/>
    </row>
    <row r="660">
      <c r="K660" s="27"/>
    </row>
    <row r="661">
      <c r="K661" s="27"/>
    </row>
    <row r="662">
      <c r="K662" s="27"/>
    </row>
    <row r="663">
      <c r="K663" s="27"/>
    </row>
    <row r="664">
      <c r="K664" s="27"/>
    </row>
    <row r="665">
      <c r="K665" s="27"/>
    </row>
    <row r="666">
      <c r="K666" s="27"/>
    </row>
    <row r="667">
      <c r="K667" s="27"/>
    </row>
    <row r="668">
      <c r="K668" s="27"/>
    </row>
    <row r="669">
      <c r="K669" s="27"/>
    </row>
    <row r="670">
      <c r="K670" s="27"/>
    </row>
    <row r="671">
      <c r="K671" s="27"/>
    </row>
    <row r="672">
      <c r="K672" s="27"/>
    </row>
    <row r="673">
      <c r="K673" s="27"/>
    </row>
    <row r="674">
      <c r="K674" s="27"/>
    </row>
    <row r="675">
      <c r="K675" s="27"/>
    </row>
    <row r="676">
      <c r="K676" s="27"/>
    </row>
    <row r="677">
      <c r="K677" s="27"/>
    </row>
    <row r="678">
      <c r="K678" s="27"/>
    </row>
    <row r="679">
      <c r="K679" s="27"/>
    </row>
    <row r="680">
      <c r="K680" s="27"/>
    </row>
    <row r="681">
      <c r="K681" s="27"/>
    </row>
    <row r="682">
      <c r="K682" s="27"/>
    </row>
    <row r="683">
      <c r="K683" s="27"/>
    </row>
    <row r="684">
      <c r="K684" s="27"/>
    </row>
    <row r="685">
      <c r="K685" s="27"/>
    </row>
    <row r="686">
      <c r="K686" s="27"/>
    </row>
    <row r="687">
      <c r="K687" s="27"/>
    </row>
    <row r="688">
      <c r="K688" s="27"/>
    </row>
    <row r="689">
      <c r="K689" s="27"/>
    </row>
    <row r="690">
      <c r="K690" s="27"/>
    </row>
    <row r="691">
      <c r="K691" s="27"/>
    </row>
    <row r="692">
      <c r="K692" s="27"/>
    </row>
    <row r="693">
      <c r="K693" s="27"/>
    </row>
    <row r="694">
      <c r="K694" s="27"/>
    </row>
    <row r="695">
      <c r="K695" s="27"/>
    </row>
    <row r="696">
      <c r="K696" s="27"/>
    </row>
    <row r="697">
      <c r="K697" s="27"/>
    </row>
    <row r="698">
      <c r="K698" s="27"/>
    </row>
    <row r="699">
      <c r="K699" s="27"/>
    </row>
    <row r="700">
      <c r="K700" s="27"/>
    </row>
    <row r="701">
      <c r="K701" s="27"/>
    </row>
    <row r="702">
      <c r="K702" s="27"/>
    </row>
    <row r="703">
      <c r="K703" s="27"/>
    </row>
    <row r="704">
      <c r="K704" s="27"/>
    </row>
    <row r="705">
      <c r="K705" s="27"/>
    </row>
    <row r="706">
      <c r="K706" s="27"/>
    </row>
    <row r="707">
      <c r="K707" s="27"/>
    </row>
    <row r="708">
      <c r="K708" s="27"/>
    </row>
    <row r="709">
      <c r="K709" s="27"/>
    </row>
    <row r="710">
      <c r="K710" s="27"/>
    </row>
    <row r="711">
      <c r="K711" s="27"/>
    </row>
    <row r="712">
      <c r="K712" s="27"/>
    </row>
    <row r="713">
      <c r="K713" s="27"/>
    </row>
    <row r="714">
      <c r="K714" s="27"/>
    </row>
    <row r="715">
      <c r="K715" s="27"/>
    </row>
    <row r="716">
      <c r="K716" s="27"/>
    </row>
    <row r="717">
      <c r="K717" s="27"/>
    </row>
    <row r="718">
      <c r="K718" s="27"/>
    </row>
    <row r="719">
      <c r="K719" s="27"/>
    </row>
    <row r="720">
      <c r="K720" s="27"/>
    </row>
    <row r="721">
      <c r="K721" s="27"/>
    </row>
    <row r="722">
      <c r="K722" s="27"/>
    </row>
    <row r="723">
      <c r="K723" s="27"/>
    </row>
    <row r="724">
      <c r="K724" s="27"/>
    </row>
    <row r="725">
      <c r="K725" s="27"/>
    </row>
    <row r="726">
      <c r="K726" s="27"/>
    </row>
    <row r="727">
      <c r="K727" s="27"/>
    </row>
    <row r="728">
      <c r="K728" s="27"/>
    </row>
    <row r="729">
      <c r="K729" s="27"/>
    </row>
    <row r="730">
      <c r="K730" s="27"/>
    </row>
    <row r="731">
      <c r="K731" s="27"/>
    </row>
    <row r="732">
      <c r="K732" s="27"/>
    </row>
    <row r="733">
      <c r="K733" s="27"/>
    </row>
    <row r="734">
      <c r="K734" s="27"/>
    </row>
    <row r="735">
      <c r="K735" s="27"/>
    </row>
    <row r="736">
      <c r="K736" s="27"/>
    </row>
    <row r="737">
      <c r="K737" s="27"/>
    </row>
    <row r="738">
      <c r="K738" s="27"/>
    </row>
    <row r="739">
      <c r="K739" s="27"/>
    </row>
    <row r="740">
      <c r="K740" s="27"/>
    </row>
    <row r="741">
      <c r="K741" s="27"/>
    </row>
    <row r="742">
      <c r="K742" s="27"/>
    </row>
    <row r="743">
      <c r="K743" s="27"/>
    </row>
    <row r="744">
      <c r="K744" s="27"/>
    </row>
    <row r="745">
      <c r="K745" s="27"/>
    </row>
    <row r="746">
      <c r="K746" s="27"/>
    </row>
    <row r="747">
      <c r="K747" s="27"/>
    </row>
    <row r="748">
      <c r="K748" s="27"/>
    </row>
    <row r="749">
      <c r="K749" s="27"/>
    </row>
    <row r="750">
      <c r="K750" s="27"/>
    </row>
    <row r="751">
      <c r="K751" s="27"/>
    </row>
    <row r="752">
      <c r="K752" s="27"/>
    </row>
    <row r="753">
      <c r="K753" s="27"/>
    </row>
    <row r="754">
      <c r="K754" s="27"/>
    </row>
    <row r="755">
      <c r="K755" s="27"/>
    </row>
    <row r="756">
      <c r="K756" s="27"/>
    </row>
    <row r="757">
      <c r="K757" s="27"/>
    </row>
    <row r="758">
      <c r="K758" s="27"/>
    </row>
    <row r="759">
      <c r="K759" s="27"/>
    </row>
    <row r="760">
      <c r="K760" s="27"/>
    </row>
    <row r="761">
      <c r="K761" s="27"/>
    </row>
    <row r="762">
      <c r="K762" s="27"/>
    </row>
    <row r="763">
      <c r="K763" s="27"/>
    </row>
    <row r="764">
      <c r="K764" s="27"/>
    </row>
    <row r="765">
      <c r="K765" s="27"/>
    </row>
    <row r="766">
      <c r="K766" s="27"/>
    </row>
    <row r="767">
      <c r="K767" s="27"/>
    </row>
    <row r="768">
      <c r="K768" s="27"/>
    </row>
    <row r="769">
      <c r="K769" s="27"/>
    </row>
    <row r="770">
      <c r="K770" s="27"/>
    </row>
    <row r="771">
      <c r="K771" s="27"/>
    </row>
    <row r="772">
      <c r="K772" s="27"/>
    </row>
    <row r="773">
      <c r="K773" s="27"/>
    </row>
    <row r="774">
      <c r="K774" s="27"/>
    </row>
    <row r="775">
      <c r="K775" s="27"/>
    </row>
    <row r="776">
      <c r="K776" s="27"/>
    </row>
    <row r="777">
      <c r="K777" s="27"/>
    </row>
    <row r="778">
      <c r="K778" s="27"/>
    </row>
    <row r="779">
      <c r="K779" s="27"/>
    </row>
    <row r="780">
      <c r="K780" s="27"/>
    </row>
    <row r="781">
      <c r="K781" s="27"/>
    </row>
    <row r="782">
      <c r="K782" s="27"/>
    </row>
    <row r="783">
      <c r="K783" s="27"/>
    </row>
    <row r="784">
      <c r="K784" s="27"/>
    </row>
    <row r="785">
      <c r="K785" s="27"/>
    </row>
    <row r="786">
      <c r="K786" s="27"/>
    </row>
    <row r="787">
      <c r="K787" s="27"/>
    </row>
    <row r="788">
      <c r="K788" s="27"/>
    </row>
    <row r="789">
      <c r="K789" s="27"/>
    </row>
    <row r="790">
      <c r="K790" s="27"/>
    </row>
    <row r="791">
      <c r="K791" s="27"/>
    </row>
    <row r="792">
      <c r="K792" s="27"/>
    </row>
    <row r="793">
      <c r="K793" s="27"/>
    </row>
    <row r="794">
      <c r="K794" s="27"/>
    </row>
    <row r="795">
      <c r="K795" s="27"/>
    </row>
    <row r="796">
      <c r="K796" s="27"/>
    </row>
    <row r="797">
      <c r="K797" s="27"/>
    </row>
    <row r="798">
      <c r="K798" s="27"/>
    </row>
    <row r="799">
      <c r="K799" s="27"/>
    </row>
    <row r="800">
      <c r="K800" s="27"/>
    </row>
    <row r="801">
      <c r="K801" s="27"/>
    </row>
    <row r="802">
      <c r="K802" s="27"/>
    </row>
    <row r="803">
      <c r="K803" s="27"/>
    </row>
    <row r="804">
      <c r="K804" s="27"/>
    </row>
    <row r="805">
      <c r="K805" s="27"/>
    </row>
    <row r="806">
      <c r="K806" s="27"/>
    </row>
    <row r="807">
      <c r="K807" s="27"/>
    </row>
    <row r="808">
      <c r="K808" s="27"/>
    </row>
    <row r="809">
      <c r="K809" s="27"/>
    </row>
    <row r="810">
      <c r="K810" s="27"/>
    </row>
    <row r="811">
      <c r="K811" s="27"/>
    </row>
    <row r="812">
      <c r="K812" s="27"/>
    </row>
    <row r="813">
      <c r="K813" s="27"/>
    </row>
    <row r="814">
      <c r="K814" s="27"/>
    </row>
    <row r="815">
      <c r="K815" s="27"/>
    </row>
    <row r="816">
      <c r="K816" s="27"/>
    </row>
    <row r="817">
      <c r="K817" s="27"/>
    </row>
    <row r="818">
      <c r="K818" s="27"/>
    </row>
    <row r="819">
      <c r="K819" s="27"/>
    </row>
    <row r="820">
      <c r="K820" s="27"/>
    </row>
    <row r="821">
      <c r="K821" s="27"/>
    </row>
    <row r="822">
      <c r="K822" s="27"/>
    </row>
    <row r="823">
      <c r="K823" s="27"/>
    </row>
    <row r="824">
      <c r="K824" s="27"/>
    </row>
    <row r="825">
      <c r="K825" s="27"/>
    </row>
    <row r="826">
      <c r="K826" s="27"/>
    </row>
    <row r="827">
      <c r="K827" s="27"/>
    </row>
    <row r="828">
      <c r="K828" s="27"/>
    </row>
    <row r="829">
      <c r="K829" s="27"/>
    </row>
    <row r="830">
      <c r="K830" s="27"/>
    </row>
    <row r="831">
      <c r="K831" s="27"/>
    </row>
    <row r="832">
      <c r="K832" s="27"/>
    </row>
    <row r="833">
      <c r="K833" s="27"/>
    </row>
    <row r="834">
      <c r="K834" s="27"/>
    </row>
    <row r="835">
      <c r="K835" s="27"/>
    </row>
    <row r="836">
      <c r="K836" s="27"/>
    </row>
    <row r="837">
      <c r="K837" s="27"/>
    </row>
    <row r="838">
      <c r="K838" s="27"/>
    </row>
    <row r="839">
      <c r="K839" s="27"/>
    </row>
    <row r="840">
      <c r="K840" s="27"/>
    </row>
    <row r="841">
      <c r="K841" s="27"/>
    </row>
    <row r="842">
      <c r="K842" s="27"/>
    </row>
    <row r="843">
      <c r="K843" s="27"/>
    </row>
    <row r="844">
      <c r="K844" s="27"/>
    </row>
    <row r="845">
      <c r="K845" s="27"/>
    </row>
    <row r="846">
      <c r="K846" s="27"/>
    </row>
    <row r="847">
      <c r="K847" s="27"/>
    </row>
    <row r="848">
      <c r="K848" s="27"/>
    </row>
    <row r="849">
      <c r="K849" s="27"/>
    </row>
    <row r="850">
      <c r="K850" s="27"/>
    </row>
    <row r="851">
      <c r="K851" s="27"/>
    </row>
    <row r="852">
      <c r="K852" s="27"/>
    </row>
    <row r="853">
      <c r="K853" s="27"/>
    </row>
    <row r="854">
      <c r="K854" s="27"/>
    </row>
    <row r="855">
      <c r="K855" s="27"/>
    </row>
    <row r="856">
      <c r="K856" s="27"/>
    </row>
    <row r="857">
      <c r="K857" s="27"/>
    </row>
    <row r="858">
      <c r="K858" s="27"/>
    </row>
    <row r="859">
      <c r="K859" s="27"/>
    </row>
    <row r="860">
      <c r="K860" s="27"/>
    </row>
    <row r="861">
      <c r="K861" s="27"/>
    </row>
    <row r="862">
      <c r="K862" s="27"/>
    </row>
    <row r="863">
      <c r="K863" s="27"/>
    </row>
    <row r="864">
      <c r="K864" s="27"/>
    </row>
    <row r="865">
      <c r="K865" s="27"/>
    </row>
    <row r="866">
      <c r="K866" s="27"/>
    </row>
    <row r="867">
      <c r="K867" s="27"/>
    </row>
    <row r="868">
      <c r="K868" s="27"/>
    </row>
    <row r="869">
      <c r="K869" s="27"/>
    </row>
    <row r="870">
      <c r="K870" s="27"/>
    </row>
    <row r="871">
      <c r="K871" s="27"/>
    </row>
    <row r="872">
      <c r="K872" s="27"/>
    </row>
    <row r="873">
      <c r="K873" s="27"/>
    </row>
    <row r="874">
      <c r="K874" s="27"/>
    </row>
    <row r="875">
      <c r="K875" s="27"/>
    </row>
    <row r="876">
      <c r="K876" s="27"/>
    </row>
    <row r="877">
      <c r="K877" s="27"/>
    </row>
    <row r="878">
      <c r="K878" s="27"/>
    </row>
    <row r="879">
      <c r="K879" s="27"/>
    </row>
    <row r="880">
      <c r="K880" s="27"/>
    </row>
    <row r="881">
      <c r="K881" s="27"/>
    </row>
    <row r="882">
      <c r="K882" s="27"/>
    </row>
    <row r="883">
      <c r="K883" s="27"/>
    </row>
    <row r="884">
      <c r="K884" s="27"/>
    </row>
    <row r="885">
      <c r="K885" s="27"/>
    </row>
    <row r="886">
      <c r="K886" s="27"/>
    </row>
    <row r="887">
      <c r="K887" s="27"/>
    </row>
    <row r="888">
      <c r="K888" s="27"/>
    </row>
    <row r="889">
      <c r="K889" s="27"/>
    </row>
    <row r="890">
      <c r="K890" s="27"/>
    </row>
    <row r="891">
      <c r="K891" s="27"/>
    </row>
    <row r="892">
      <c r="K892" s="27"/>
    </row>
    <row r="893">
      <c r="K893" s="27"/>
    </row>
    <row r="894">
      <c r="K894" s="27"/>
    </row>
    <row r="895">
      <c r="K895" s="27"/>
    </row>
    <row r="896">
      <c r="K896" s="27"/>
    </row>
    <row r="897">
      <c r="K897" s="27"/>
    </row>
    <row r="898">
      <c r="K898" s="27"/>
    </row>
    <row r="899">
      <c r="K899" s="27"/>
    </row>
    <row r="900">
      <c r="K900" s="27"/>
    </row>
    <row r="901">
      <c r="K901" s="27"/>
    </row>
    <row r="902">
      <c r="K902" s="27"/>
    </row>
    <row r="903">
      <c r="K903" s="27"/>
    </row>
    <row r="904">
      <c r="K904" s="27"/>
    </row>
    <row r="905">
      <c r="K905" s="27"/>
    </row>
    <row r="906">
      <c r="K906" s="27"/>
    </row>
    <row r="907">
      <c r="K907" s="27"/>
    </row>
    <row r="908">
      <c r="K908" s="27"/>
    </row>
    <row r="909">
      <c r="K909" s="27"/>
    </row>
    <row r="910">
      <c r="K910" s="27"/>
    </row>
    <row r="911">
      <c r="K911" s="27"/>
    </row>
    <row r="912">
      <c r="K912" s="27"/>
    </row>
    <row r="913">
      <c r="K913" s="27"/>
    </row>
    <row r="914">
      <c r="K914" s="27"/>
    </row>
    <row r="915">
      <c r="K915" s="27"/>
    </row>
    <row r="916">
      <c r="K916" s="27"/>
    </row>
    <row r="917">
      <c r="K917" s="27"/>
    </row>
    <row r="918">
      <c r="K918" s="27"/>
    </row>
    <row r="919">
      <c r="K919" s="27"/>
    </row>
    <row r="920">
      <c r="K920" s="27"/>
    </row>
    <row r="921">
      <c r="K921" s="27"/>
    </row>
    <row r="922">
      <c r="K922" s="27"/>
    </row>
    <row r="923">
      <c r="K923" s="27"/>
    </row>
    <row r="924">
      <c r="K924" s="27"/>
    </row>
    <row r="925">
      <c r="K925" s="27"/>
    </row>
    <row r="926">
      <c r="K926" s="27"/>
    </row>
    <row r="927">
      <c r="K927" s="27"/>
    </row>
    <row r="928">
      <c r="K928" s="27"/>
    </row>
    <row r="929">
      <c r="K929" s="27"/>
    </row>
    <row r="930">
      <c r="K930" s="27"/>
    </row>
    <row r="931">
      <c r="K931" s="27"/>
    </row>
    <row r="932">
      <c r="K932" s="27"/>
    </row>
    <row r="933">
      <c r="K933" s="27"/>
    </row>
    <row r="934">
      <c r="K934" s="27"/>
    </row>
    <row r="935">
      <c r="K935" s="27"/>
    </row>
    <row r="936">
      <c r="K936" s="27"/>
    </row>
    <row r="937">
      <c r="K937" s="27"/>
    </row>
    <row r="938">
      <c r="K938" s="27"/>
    </row>
    <row r="939">
      <c r="K939" s="27"/>
    </row>
    <row r="940">
      <c r="K940" s="27"/>
    </row>
    <row r="941">
      <c r="K941" s="27"/>
    </row>
    <row r="942">
      <c r="K942" s="27"/>
    </row>
    <row r="943">
      <c r="K943" s="27"/>
    </row>
    <row r="944">
      <c r="K944" s="27"/>
    </row>
    <row r="945">
      <c r="K945" s="27"/>
    </row>
    <row r="946">
      <c r="K946" s="27"/>
    </row>
    <row r="947">
      <c r="K947" s="27"/>
    </row>
    <row r="948">
      <c r="K948" s="27"/>
    </row>
    <row r="949">
      <c r="K949" s="27"/>
    </row>
    <row r="950">
      <c r="K950" s="27"/>
    </row>
    <row r="951">
      <c r="K951" s="27"/>
    </row>
    <row r="952">
      <c r="K952" s="27"/>
    </row>
    <row r="953">
      <c r="K953" s="27"/>
    </row>
    <row r="954">
      <c r="K954" s="27"/>
    </row>
    <row r="955">
      <c r="K955" s="27"/>
    </row>
    <row r="956">
      <c r="K956" s="27"/>
    </row>
    <row r="957">
      <c r="K957" s="27"/>
    </row>
    <row r="958">
      <c r="K958" s="27"/>
    </row>
    <row r="959">
      <c r="K959" s="27"/>
    </row>
    <row r="960">
      <c r="K960" s="27"/>
    </row>
    <row r="961">
      <c r="K961" s="27"/>
    </row>
    <row r="962">
      <c r="K962" s="27"/>
    </row>
    <row r="963">
      <c r="K963" s="27"/>
    </row>
    <row r="964">
      <c r="K964" s="27"/>
    </row>
    <row r="965">
      <c r="K965" s="27"/>
    </row>
    <row r="966">
      <c r="K966" s="27"/>
    </row>
    <row r="967">
      <c r="K967" s="27"/>
    </row>
    <row r="968">
      <c r="K968" s="27"/>
    </row>
    <row r="969">
      <c r="K969" s="27"/>
    </row>
    <row r="970">
      <c r="K970" s="27"/>
    </row>
    <row r="971">
      <c r="K971" s="27"/>
    </row>
    <row r="972">
      <c r="K972" s="27"/>
    </row>
    <row r="973">
      <c r="K973" s="27"/>
    </row>
    <row r="974">
      <c r="K974" s="27"/>
    </row>
    <row r="975">
      <c r="K975" s="27"/>
    </row>
    <row r="976">
      <c r="K976" s="27"/>
    </row>
    <row r="977">
      <c r="K977" s="27"/>
    </row>
    <row r="978">
      <c r="K978" s="27"/>
    </row>
    <row r="979">
      <c r="K979" s="27"/>
    </row>
    <row r="980">
      <c r="K980" s="27"/>
    </row>
    <row r="981">
      <c r="K981" s="27"/>
    </row>
    <row r="982">
      <c r="K982" s="27"/>
    </row>
    <row r="983">
      <c r="K983" s="27"/>
    </row>
    <row r="984">
      <c r="K984" s="27"/>
    </row>
    <row r="985">
      <c r="K985" s="27"/>
    </row>
    <row r="986">
      <c r="K986" s="27"/>
    </row>
    <row r="987">
      <c r="K987" s="27"/>
    </row>
    <row r="988">
      <c r="K988" s="27"/>
    </row>
    <row r="989">
      <c r="K989" s="27"/>
    </row>
    <row r="990">
      <c r="K990" s="27"/>
    </row>
    <row r="991">
      <c r="K991" s="27"/>
    </row>
    <row r="992">
      <c r="K992" s="27"/>
    </row>
    <row r="993">
      <c r="K993" s="27"/>
    </row>
    <row r="994">
      <c r="K994" s="27"/>
    </row>
    <row r="995">
      <c r="K995" s="27"/>
    </row>
    <row r="996">
      <c r="K996" s="27"/>
    </row>
    <row r="997">
      <c r="K997" s="27"/>
    </row>
    <row r="998">
      <c r="K998" s="27"/>
    </row>
    <row r="999">
      <c r="K999" s="27"/>
    </row>
    <row r="1000">
      <c r="K1000" s="27"/>
    </row>
  </sheetData>
  <mergeCells count="41">
    <mergeCell ref="J13:J14"/>
    <mergeCell ref="L29:L38"/>
    <mergeCell ref="L40:L45"/>
    <mergeCell ref="B1:K1"/>
    <mergeCell ref="B10:H10"/>
    <mergeCell ref="B11:K11"/>
    <mergeCell ref="B19:H19"/>
    <mergeCell ref="B20:K20"/>
    <mergeCell ref="B27:H27"/>
    <mergeCell ref="B28:K28"/>
    <mergeCell ref="B38:H38"/>
    <mergeCell ref="B39:K39"/>
    <mergeCell ref="B45:H45"/>
    <mergeCell ref="B46:K46"/>
    <mergeCell ref="B50:H50"/>
    <mergeCell ref="B51:K51"/>
    <mergeCell ref="B58:K58"/>
    <mergeCell ref="B57:H57"/>
    <mergeCell ref="B63:H63"/>
    <mergeCell ref="B64:K64"/>
    <mergeCell ref="J65:J68"/>
    <mergeCell ref="B68:H68"/>
    <mergeCell ref="B69:K69"/>
    <mergeCell ref="B71:K71"/>
    <mergeCell ref="B76:H76"/>
    <mergeCell ref="B77:K77"/>
    <mergeCell ref="J78:J82"/>
    <mergeCell ref="B84:H84"/>
    <mergeCell ref="B85:K85"/>
    <mergeCell ref="B89:H89"/>
    <mergeCell ref="B90:H90"/>
    <mergeCell ref="B116:F116"/>
    <mergeCell ref="B117:G117"/>
    <mergeCell ref="B118:K118"/>
    <mergeCell ref="B97:H97"/>
    <mergeCell ref="C105:E105"/>
    <mergeCell ref="B111:E111"/>
    <mergeCell ref="B112:H112"/>
    <mergeCell ref="B113:F113"/>
    <mergeCell ref="B114:F114"/>
    <mergeCell ref="B115:F115"/>
  </mergeCells>
  <hyperlinks>
    <hyperlink r:id="rId1" ref="B26"/>
    <hyperlink r:id="rId2" ref="L29"/>
    <hyperlink r:id="rId3" ref="B31"/>
    <hyperlink r:id="rId4" ref="J65"/>
    <hyperlink r:id="rId5" ref="J70"/>
  </hyperlinks>
  <printOptions/>
  <pageMargins bottom="0.75" footer="0.0" header="0.0" left="0.7" right="0.7" top="0.75"/>
  <pageSetup paperSize="9" orientation="portrait"/>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63"/>
    <col customWidth="1" min="2" max="2" width="31.5"/>
    <col customWidth="1" min="3" max="4" width="8.63"/>
    <col customWidth="1" min="5" max="5" width="36.5"/>
    <col customWidth="1" min="6" max="6" width="23.0"/>
    <col customWidth="1" min="7" max="26" width="8.63"/>
  </cols>
  <sheetData>
    <row r="1" ht="12.0" customHeight="1"/>
    <row r="2" ht="12.0" customHeight="1"/>
    <row r="3" ht="12.0" customHeight="1">
      <c r="A3" s="93" t="s">
        <v>190</v>
      </c>
      <c r="B3" s="54" t="s">
        <v>191</v>
      </c>
      <c r="C3" s="54" t="s">
        <v>192</v>
      </c>
      <c r="D3" s="54" t="s">
        <v>193</v>
      </c>
      <c r="E3" s="54" t="s">
        <v>9</v>
      </c>
      <c r="F3" s="54" t="s">
        <v>156</v>
      </c>
      <c r="G3" s="54" t="s">
        <v>194</v>
      </c>
      <c r="H3" s="54" t="s">
        <v>106</v>
      </c>
    </row>
    <row r="4" ht="12.0" customHeight="1">
      <c r="A4" s="33">
        <v>1.0</v>
      </c>
      <c r="B4" s="68" t="s">
        <v>195</v>
      </c>
      <c r="C4" s="7">
        <f>'Sheet1 (1)'!I10</f>
        <v>145250</v>
      </c>
      <c r="D4" s="7">
        <f>'Sheet1 (1)'!K10</f>
        <v>150650</v>
      </c>
      <c r="F4" s="34" t="s">
        <v>92</v>
      </c>
      <c r="G4" s="31">
        <v>45000.0</v>
      </c>
      <c r="H4" s="7">
        <f>G4</f>
        <v>45000</v>
      </c>
    </row>
    <row r="5" ht="12.0" customHeight="1">
      <c r="A5" s="33">
        <v>2.0</v>
      </c>
      <c r="B5" s="68" t="s">
        <v>25</v>
      </c>
      <c r="C5" s="7">
        <f>'Sheet1 (1)'!I19</f>
        <v>300000</v>
      </c>
      <c r="D5" s="7">
        <f>'Sheet1 (1)'!K19</f>
        <v>257000</v>
      </c>
      <c r="E5" s="39" t="s">
        <v>196</v>
      </c>
      <c r="F5" s="34" t="s">
        <v>95</v>
      </c>
      <c r="G5" s="35">
        <v>90000.0</v>
      </c>
      <c r="H5" s="7">
        <f>6*7500</f>
        <v>45000</v>
      </c>
    </row>
    <row r="6" ht="12.0" customHeight="1">
      <c r="A6" s="33">
        <v>3.0</v>
      </c>
      <c r="B6" s="68" t="s">
        <v>36</v>
      </c>
      <c r="C6" s="7">
        <f>'Sheet1 (1)'!I27</f>
        <v>346100</v>
      </c>
      <c r="D6" s="7">
        <f>'Sheet1 (1)'!K27</f>
        <v>279950</v>
      </c>
      <c r="E6" s="32" t="s">
        <v>197</v>
      </c>
      <c r="F6" s="34" t="s">
        <v>96</v>
      </c>
      <c r="G6" s="35">
        <v>105000.0</v>
      </c>
      <c r="H6" s="7">
        <f>90000</f>
        <v>90000</v>
      </c>
    </row>
    <row r="7" ht="12.0" customHeight="1">
      <c r="A7" s="33">
        <v>4.0</v>
      </c>
      <c r="B7" s="68" t="s">
        <v>198</v>
      </c>
      <c r="C7" s="7">
        <f>'Sheet1 (1)'!I38</f>
        <v>331250</v>
      </c>
      <c r="D7" s="7">
        <f>'Sheet1 (1)'!K38</f>
        <v>267600</v>
      </c>
      <c r="E7" s="39" t="s">
        <v>199</v>
      </c>
      <c r="F7" s="34" t="s">
        <v>99</v>
      </c>
      <c r="G7" s="31">
        <v>10500.0</v>
      </c>
      <c r="H7" s="7">
        <v>8000.0</v>
      </c>
    </row>
    <row r="8" ht="12.0" customHeight="1">
      <c r="A8" s="33">
        <v>5.0</v>
      </c>
      <c r="B8" s="68" t="s">
        <v>200</v>
      </c>
      <c r="C8" s="7">
        <f>'Sheet1 (1)'!I45</f>
        <v>281000</v>
      </c>
      <c r="D8" s="7">
        <f>'Sheet1 (1)'!K45</f>
        <v>182500</v>
      </c>
      <c r="E8" s="32" t="s">
        <v>137</v>
      </c>
      <c r="F8" s="34" t="s">
        <v>100</v>
      </c>
      <c r="G8" s="31">
        <v>19000.0</v>
      </c>
      <c r="H8" s="7">
        <f>2*9500</f>
        <v>19000</v>
      </c>
    </row>
    <row r="9" ht="12.0" customHeight="1">
      <c r="A9" s="33">
        <v>6.0</v>
      </c>
      <c r="B9" s="68" t="s">
        <v>55</v>
      </c>
      <c r="C9" s="7">
        <f>'Sheet1 (1)'!I50</f>
        <v>178950</v>
      </c>
      <c r="D9" s="7">
        <f>'Sheet1 (1)'!K50</f>
        <v>165400</v>
      </c>
      <c r="F9" s="34" t="s">
        <v>102</v>
      </c>
      <c r="G9" s="35">
        <v>35000.0</v>
      </c>
    </row>
    <row r="10" ht="12.0" customHeight="1">
      <c r="A10" s="33">
        <v>7.0</v>
      </c>
      <c r="B10" s="68" t="s">
        <v>59</v>
      </c>
      <c r="C10" s="7">
        <f>'Sheet1 (1)'!I57</f>
        <v>53500</v>
      </c>
      <c r="D10" s="7">
        <f>'Sheet1 (1)'!K57</f>
        <v>52500</v>
      </c>
      <c r="E10" s="39" t="s">
        <v>201</v>
      </c>
      <c r="F10" s="34" t="s">
        <v>103</v>
      </c>
      <c r="G10" s="35">
        <v>55500.0</v>
      </c>
      <c r="H10" s="7">
        <f>3*10000</f>
        <v>30000</v>
      </c>
    </row>
    <row r="11" ht="12.0" customHeight="1">
      <c r="A11" s="33">
        <v>8.0</v>
      </c>
      <c r="B11" s="68" t="s">
        <v>65</v>
      </c>
      <c r="C11" s="7">
        <f>'Sheet1 (1)'!I63</f>
        <v>73250</v>
      </c>
      <c r="D11" s="7">
        <f>'Sheet1 (1)'!K63</f>
        <v>69750</v>
      </c>
      <c r="E11" s="32" t="s">
        <v>202</v>
      </c>
      <c r="F11" s="34" t="s">
        <v>104</v>
      </c>
      <c r="G11" s="31">
        <v>25500.0</v>
      </c>
      <c r="H11" s="7">
        <f>3*8000</f>
        <v>24000</v>
      </c>
    </row>
    <row r="12" ht="12.0" customHeight="1">
      <c r="A12" s="33">
        <v>9.0</v>
      </c>
      <c r="B12" s="68" t="s">
        <v>203</v>
      </c>
      <c r="C12" s="7">
        <f>'Sheet1 (1)'!I68</f>
        <v>99750</v>
      </c>
      <c r="D12" s="7">
        <f>'Sheet1 (1)'!K68</f>
        <v>95250</v>
      </c>
      <c r="E12" s="32" t="s">
        <v>204</v>
      </c>
      <c r="F12" s="34" t="s">
        <v>164</v>
      </c>
      <c r="H12" s="7">
        <v>25000.0</v>
      </c>
    </row>
    <row r="13" ht="12.0" customHeight="1">
      <c r="A13" s="33">
        <v>10.0</v>
      </c>
      <c r="B13" s="68" t="s">
        <v>74</v>
      </c>
      <c r="C13" s="7">
        <f>'Sheet1 (1)'!I70</f>
        <v>162000</v>
      </c>
      <c r="D13" s="7">
        <f>'Sheet1 (1)'!K70</f>
        <v>176000</v>
      </c>
      <c r="E13" s="39" t="s">
        <v>205</v>
      </c>
    </row>
    <row r="14" ht="12.0" customHeight="1">
      <c r="A14" s="33">
        <v>11.0</v>
      </c>
      <c r="B14" s="68" t="s">
        <v>206</v>
      </c>
      <c r="C14" s="7">
        <f>'Sheet1 (1)'!I76</f>
        <v>110900</v>
      </c>
      <c r="D14" s="7">
        <f>'Sheet1 (1)'!K76</f>
        <v>110900</v>
      </c>
      <c r="E14" s="32" t="s">
        <v>207</v>
      </c>
    </row>
    <row r="15" ht="12.0" customHeight="1">
      <c r="A15" s="33">
        <v>12.0</v>
      </c>
      <c r="B15" s="68" t="s">
        <v>83</v>
      </c>
      <c r="C15" s="7">
        <f>'Sheet1 (1)'!I84</f>
        <v>90300</v>
      </c>
      <c r="D15" s="7">
        <f>'Sheet1 (1)'!K84</f>
        <v>90300</v>
      </c>
      <c r="E15" s="32" t="s">
        <v>208</v>
      </c>
    </row>
    <row r="16" ht="12.0" customHeight="1">
      <c r="A16" s="33">
        <v>13.0</v>
      </c>
      <c r="B16" s="68" t="s">
        <v>152</v>
      </c>
      <c r="C16" s="7">
        <f>'Sheet1 (1)'!I89</f>
        <v>130000</v>
      </c>
      <c r="D16" s="7">
        <f>'Sheet1 (1)'!K89</f>
        <v>130000</v>
      </c>
      <c r="E16" s="32" t="s">
        <v>207</v>
      </c>
      <c r="F16" s="54" t="s">
        <v>209</v>
      </c>
      <c r="G16" s="54">
        <f t="shared" ref="G16:H16" si="1">SUM(G4:G15)</f>
        <v>385500</v>
      </c>
      <c r="H16" s="54">
        <f t="shared" si="1"/>
        <v>286000</v>
      </c>
    </row>
    <row r="17" ht="12.0" customHeight="1">
      <c r="A17" s="33">
        <v>14.0</v>
      </c>
    </row>
    <row r="18" ht="12.0" customHeight="1">
      <c r="A18" s="33">
        <v>15.0</v>
      </c>
    </row>
    <row r="19" ht="12.0" customHeight="1">
      <c r="B19" s="55" t="s">
        <v>210</v>
      </c>
      <c r="C19" s="55">
        <f>SUM(C4:C18)</f>
        <v>2302250</v>
      </c>
      <c r="D19" s="55">
        <f>SUM(D4:D16)</f>
        <v>2027800</v>
      </c>
    </row>
    <row r="20" ht="12.0" customHeight="1">
      <c r="B20" s="54" t="s">
        <v>211</v>
      </c>
      <c r="C20" s="94">
        <f t="shared" ref="C20:D20" si="2">C19-C15</f>
        <v>2211950</v>
      </c>
      <c r="D20" s="95">
        <f t="shared" si="2"/>
        <v>1937500</v>
      </c>
      <c r="E20" s="68" t="s">
        <v>212</v>
      </c>
    </row>
    <row r="21" ht="12.0" customHeight="1">
      <c r="B21" s="55" t="s">
        <v>213</v>
      </c>
      <c r="C21" s="55">
        <f t="shared" ref="C21:D21" si="3">C19+G16</f>
        <v>2687750</v>
      </c>
      <c r="D21" s="55">
        <f t="shared" si="3"/>
        <v>2313800</v>
      </c>
      <c r="E21" s="68" t="s">
        <v>214</v>
      </c>
    </row>
    <row r="22" ht="12.0" customHeight="1">
      <c r="B22" s="54" t="s">
        <v>215</v>
      </c>
      <c r="C22" s="94">
        <f t="shared" ref="C22:D22" si="4">C20+G16</f>
        <v>2597450</v>
      </c>
      <c r="D22" s="95">
        <f t="shared" si="4"/>
        <v>2223500</v>
      </c>
    </row>
    <row r="23" ht="12.0" customHeight="1"/>
    <row r="24" ht="12.0" customHeight="1">
      <c r="A24" s="78" t="s">
        <v>216</v>
      </c>
    </row>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A24:E2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6" width="12.63"/>
  </cols>
  <sheetData>
    <row r="1" ht="15.75" customHeight="1">
      <c r="A1" s="22" t="s">
        <v>91</v>
      </c>
      <c r="B1" s="23"/>
      <c r="C1" s="23"/>
      <c r="D1" s="23"/>
      <c r="E1" s="23"/>
      <c r="F1" s="23"/>
      <c r="G1" s="23"/>
      <c r="H1" s="23"/>
      <c r="I1" s="24"/>
    </row>
    <row r="2" ht="15.75" customHeight="1">
      <c r="A2" s="34" t="s">
        <v>92</v>
      </c>
      <c r="E2" s="31" t="s">
        <v>93</v>
      </c>
      <c r="F2" s="30" t="s">
        <v>94</v>
      </c>
      <c r="G2" s="30">
        <v>45000.0</v>
      </c>
      <c r="H2" s="31">
        <f t="shared" ref="H2:I2" si="1">G2</f>
        <v>45000</v>
      </c>
      <c r="I2" s="7">
        <f t="shared" si="1"/>
        <v>45000</v>
      </c>
    </row>
    <row r="3" ht="15.75" customHeight="1">
      <c r="A3" s="34" t="s">
        <v>95</v>
      </c>
      <c r="E3" s="31" t="s">
        <v>78</v>
      </c>
      <c r="F3" s="30">
        <v>6.0</v>
      </c>
      <c r="G3" s="30">
        <v>15000.0</v>
      </c>
      <c r="H3" s="35">
        <f>F3*G3</f>
        <v>90000</v>
      </c>
      <c r="I3" s="7">
        <f>6*7500</f>
        <v>45000</v>
      </c>
    </row>
    <row r="4" ht="15.75" customHeight="1">
      <c r="A4" s="34" t="s">
        <v>96</v>
      </c>
      <c r="E4" s="31" t="s">
        <v>13</v>
      </c>
      <c r="F4" s="30" t="s">
        <v>97</v>
      </c>
      <c r="G4" s="30">
        <v>105000.0</v>
      </c>
      <c r="H4" s="35">
        <f>G4</f>
        <v>105000</v>
      </c>
      <c r="I4" s="7">
        <f>90000</f>
        <v>90000</v>
      </c>
    </row>
    <row r="5" ht="15.75" customHeight="1">
      <c r="A5" s="34" t="s">
        <v>98</v>
      </c>
      <c r="E5" s="31" t="s">
        <v>78</v>
      </c>
      <c r="F5" s="30">
        <v>2.0</v>
      </c>
      <c r="G5" s="30">
        <v>13500.0</v>
      </c>
      <c r="H5" s="35">
        <f t="shared" ref="H5:H11" si="2">F5*G5</f>
        <v>27000</v>
      </c>
    </row>
    <row r="6" ht="15.75" customHeight="1">
      <c r="A6" s="34" t="s">
        <v>99</v>
      </c>
      <c r="E6" s="31" t="s">
        <v>78</v>
      </c>
      <c r="F6" s="30">
        <v>1.0</v>
      </c>
      <c r="G6" s="30">
        <v>10500.0</v>
      </c>
      <c r="H6" s="31">
        <f t="shared" si="2"/>
        <v>10500</v>
      </c>
      <c r="I6" s="7">
        <f>8000</f>
        <v>8000</v>
      </c>
    </row>
    <row r="7" ht="15.75" customHeight="1">
      <c r="A7" s="34" t="s">
        <v>100</v>
      </c>
      <c r="E7" s="31" t="s">
        <v>78</v>
      </c>
      <c r="F7" s="30">
        <v>2.0</v>
      </c>
      <c r="G7" s="30">
        <v>9500.0</v>
      </c>
      <c r="H7" s="31">
        <f t="shared" si="2"/>
        <v>19000</v>
      </c>
      <c r="I7" s="7">
        <f>H7</f>
        <v>19000</v>
      </c>
    </row>
    <row r="8" ht="15.75" customHeight="1">
      <c r="A8" s="34" t="s">
        <v>101</v>
      </c>
      <c r="E8" s="31" t="s">
        <v>78</v>
      </c>
      <c r="F8" s="30">
        <v>1.0</v>
      </c>
      <c r="G8" s="30">
        <v>12500.0</v>
      </c>
      <c r="H8" s="35">
        <f t="shared" si="2"/>
        <v>12500</v>
      </c>
    </row>
    <row r="9" ht="15.75" customHeight="1">
      <c r="A9" s="34" t="s">
        <v>102</v>
      </c>
      <c r="E9" s="31" t="s">
        <v>78</v>
      </c>
      <c r="F9" s="30">
        <v>1.0</v>
      </c>
      <c r="G9" s="30">
        <v>35000.0</v>
      </c>
      <c r="H9" s="35">
        <f t="shared" si="2"/>
        <v>35000</v>
      </c>
      <c r="I9" s="7">
        <f>30000</f>
        <v>30000</v>
      </c>
    </row>
    <row r="10" ht="15.75" customHeight="1">
      <c r="A10" s="34" t="s">
        <v>103</v>
      </c>
      <c r="E10" s="31" t="s">
        <v>78</v>
      </c>
      <c r="F10" s="30">
        <v>3.0</v>
      </c>
      <c r="G10" s="30">
        <v>18500.0</v>
      </c>
      <c r="H10" s="35">
        <f t="shared" si="2"/>
        <v>55500</v>
      </c>
    </row>
    <row r="11" ht="15.75" customHeight="1">
      <c r="A11" s="34" t="s">
        <v>104</v>
      </c>
      <c r="E11" s="31" t="s">
        <v>78</v>
      </c>
      <c r="F11" s="30">
        <v>3.0</v>
      </c>
      <c r="G11" s="30">
        <v>8500.0</v>
      </c>
      <c r="H11" s="31">
        <f t="shared" si="2"/>
        <v>25500</v>
      </c>
      <c r="I11" s="7">
        <v>24000.0</v>
      </c>
    </row>
    <row r="12" ht="15.75" customHeight="1">
      <c r="A12" s="34" t="s">
        <v>164</v>
      </c>
      <c r="I12" s="7">
        <f>25000</f>
        <v>25000</v>
      </c>
    </row>
    <row r="13" ht="15.75" customHeight="1">
      <c r="A13" s="30" t="s">
        <v>105</v>
      </c>
      <c r="H13" s="31">
        <f>SUM(H2:H11)</f>
        <v>425000</v>
      </c>
      <c r="I13" s="7">
        <f>SUM(I2:I12)</f>
        <v>286000</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I1"/>
    <mergeCell ref="A13:G13"/>
  </mergeCells>
  <printOptions/>
  <pageMargins bottom="0.75" footer="0.0" header="0.0" left="0.7" right="0.7" top="0.75"/>
  <pageSetup orientation="landscape"/>
  <drawing r:id="rId1"/>
</worksheet>
</file>